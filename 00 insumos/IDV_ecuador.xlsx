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mc:AlternateContent xmlns:mc="http://schemas.openxmlformats.org/markup-compatibility/2006">
    <mc:Choice Requires="x15">
      <x15ac:absPath xmlns:x15ac="http://schemas.microsoft.com/office/spreadsheetml/2010/11/ac" url="C:\Users\james\Dropbox\2021 CELAG - Opinion publica\01 Proyecto R seguimiento encuestas\00 insumos\"/>
    </mc:Choice>
  </mc:AlternateContent>
  <xr:revisionPtr revIDLastSave="0" documentId="13_ncr:1_{F1B78311-F2BA-4726-9FD5-1F78185CB89B}" xr6:coauthVersionLast="46" xr6:coauthVersionMax="46" xr10:uidLastSave="{00000000-0000-0000-0000-000000000000}"/>
  <bookViews>
    <workbookView xWindow="-108" yWindow="-108" windowWidth="23256" windowHeight="12720" xr2:uid="{00000000-000D-0000-FFFF-FFFF00000000}"/>
  </bookViews>
  <sheets>
    <sheet name="01_Idv_sin_noboa" sheetId="1" r:id="rId1"/>
    <sheet name="Idv CON NOBOA" sheetId="4" r:id="rId2"/>
    <sheet name="Votos válidos CON NOBOA"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 i="1" l="1"/>
  <c r="E16" i="1"/>
  <c r="E15" i="1"/>
  <c r="E14" i="1"/>
  <c r="E13" i="1"/>
  <c r="E12" i="1"/>
  <c r="E11" i="1"/>
  <c r="E10" i="1"/>
  <c r="E9" i="1"/>
  <c r="E8" i="1"/>
  <c r="E7" i="1"/>
  <c r="E5" i="1"/>
  <c r="E4" i="1"/>
  <c r="E3" i="1"/>
  <c r="E2" i="1"/>
  <c r="E6" i="1"/>
  <c r="Q8" i="4"/>
  <c r="Q7" i="4"/>
  <c r="Q6" i="4"/>
  <c r="Q5" i="4"/>
  <c r="B42" i="3" l="1"/>
  <c r="B43" i="3"/>
  <c r="B44" i="3"/>
  <c r="B45" i="3"/>
  <c r="B41" i="3"/>
  <c r="C4" i="3" l="1"/>
  <c r="D4" i="3"/>
  <c r="F4" i="3"/>
  <c r="G4" i="3"/>
  <c r="E4" i="3"/>
  <c r="H4" i="3"/>
  <c r="I4" i="3"/>
  <c r="J4" i="3"/>
  <c r="K4" i="3"/>
  <c r="L4" i="3"/>
  <c r="M4" i="3"/>
  <c r="B4" i="3"/>
  <c r="C15" i="4"/>
  <c r="D15" i="4"/>
  <c r="E15" i="4"/>
  <c r="F15" i="4"/>
  <c r="G15" i="4"/>
  <c r="H15" i="4"/>
  <c r="I15" i="4"/>
  <c r="J15" i="4"/>
  <c r="K15" i="4"/>
  <c r="L15" i="4"/>
  <c r="M15" i="4"/>
  <c r="N15" i="4"/>
  <c r="O15" i="4"/>
  <c r="P15" i="4"/>
  <c r="B15" i="4"/>
  <c r="Q4" i="4"/>
  <c r="N4" i="3" l="1"/>
  <c r="O4" i="3"/>
  <c r="M14" i="3"/>
  <c r="Q9" i="4"/>
  <c r="Q15" i="4" s="1"/>
  <c r="Q10" i="4"/>
  <c r="Q11" i="4"/>
  <c r="Q12" i="4"/>
  <c r="Q13" i="4"/>
  <c r="Q14" i="4"/>
  <c r="C7" i="3" l="1"/>
  <c r="D7" i="3"/>
  <c r="F7" i="3"/>
  <c r="G7" i="3"/>
  <c r="E7" i="3"/>
  <c r="H7" i="3"/>
  <c r="I7" i="3"/>
  <c r="J7" i="3"/>
  <c r="K7" i="3"/>
  <c r="L7" i="3"/>
  <c r="M7" i="3"/>
  <c r="B7" i="3"/>
  <c r="C6" i="3"/>
  <c r="D6" i="3"/>
  <c r="F6" i="3"/>
  <c r="G6" i="3"/>
  <c r="E6" i="3"/>
  <c r="H6" i="3"/>
  <c r="I6" i="3"/>
  <c r="J6" i="3"/>
  <c r="K6" i="3"/>
  <c r="L6" i="3"/>
  <c r="M6" i="3"/>
  <c r="B6" i="3"/>
  <c r="C5" i="3"/>
  <c r="D5" i="3"/>
  <c r="F5" i="3"/>
  <c r="G5" i="3"/>
  <c r="E5" i="3"/>
  <c r="H5" i="3"/>
  <c r="I5" i="3"/>
  <c r="J5" i="3"/>
  <c r="K5" i="3"/>
  <c r="L5" i="3"/>
  <c r="M5" i="3"/>
  <c r="B5" i="3"/>
  <c r="L14" i="3"/>
  <c r="K14" i="3"/>
  <c r="J14" i="3"/>
  <c r="I14" i="3"/>
  <c r="H14" i="3"/>
  <c r="E14" i="3"/>
  <c r="G14" i="3"/>
  <c r="F14" i="3"/>
  <c r="N14" i="3" s="1"/>
  <c r="D14" i="3"/>
  <c r="C14" i="3"/>
  <c r="B14" i="3"/>
  <c r="M13" i="3"/>
  <c r="L13" i="3"/>
  <c r="K13" i="3"/>
  <c r="J13" i="3"/>
  <c r="I13" i="3"/>
  <c r="H13" i="3"/>
  <c r="E13" i="3"/>
  <c r="G13" i="3"/>
  <c r="F13" i="3"/>
  <c r="N13" i="3" s="1"/>
  <c r="D13" i="3"/>
  <c r="C13" i="3"/>
  <c r="B13" i="3"/>
  <c r="M12" i="3"/>
  <c r="L12" i="3"/>
  <c r="K12" i="3"/>
  <c r="J12" i="3"/>
  <c r="I12" i="3"/>
  <c r="H12" i="3"/>
  <c r="E12" i="3"/>
  <c r="G12" i="3"/>
  <c r="F12" i="3"/>
  <c r="N12" i="3" s="1"/>
  <c r="D12" i="3"/>
  <c r="C12" i="3"/>
  <c r="B12" i="3"/>
  <c r="M11" i="3"/>
  <c r="L11" i="3"/>
  <c r="K11" i="3"/>
  <c r="J11" i="3"/>
  <c r="I11" i="3"/>
  <c r="H11" i="3"/>
  <c r="E11" i="3"/>
  <c r="G11" i="3"/>
  <c r="N11" i="3" s="1"/>
  <c r="D11" i="3"/>
  <c r="C11" i="3"/>
  <c r="B11" i="3"/>
  <c r="M10" i="3"/>
  <c r="L10" i="3"/>
  <c r="K10" i="3"/>
  <c r="J10" i="3"/>
  <c r="I10" i="3"/>
  <c r="H10" i="3"/>
  <c r="E10" i="3"/>
  <c r="G10" i="3"/>
  <c r="F10" i="3"/>
  <c r="N10" i="3" s="1"/>
  <c r="D10" i="3"/>
  <c r="C10" i="3"/>
  <c r="B10" i="3"/>
  <c r="M9" i="3"/>
  <c r="L9" i="3"/>
  <c r="K9" i="3"/>
  <c r="J9" i="3"/>
  <c r="E9" i="3"/>
  <c r="F9" i="3"/>
  <c r="D9" i="3"/>
  <c r="C9" i="3"/>
  <c r="B9" i="3"/>
  <c r="M8" i="3"/>
  <c r="L8" i="3"/>
  <c r="K8" i="3"/>
  <c r="J8" i="3"/>
  <c r="I8" i="3"/>
  <c r="H8" i="3"/>
  <c r="E8" i="3"/>
  <c r="G8" i="3"/>
  <c r="F8" i="3"/>
  <c r="D8" i="3"/>
  <c r="C8" i="3"/>
  <c r="B8" i="3"/>
  <c r="N9" i="3" l="1"/>
  <c r="N8" i="3"/>
  <c r="N5" i="3"/>
  <c r="N7" i="3"/>
  <c r="N6" i="3"/>
  <c r="F15" i="3"/>
  <c r="M15" i="3"/>
  <c r="I15" i="3"/>
  <c r="O8" i="3"/>
  <c r="O9" i="3"/>
  <c r="L15" i="3"/>
  <c r="H15" i="3"/>
  <c r="D15" i="3"/>
  <c r="K15" i="3"/>
  <c r="E15" i="3"/>
  <c r="C15" i="3"/>
  <c r="O12" i="3"/>
  <c r="O13" i="3"/>
  <c r="O14" i="3"/>
  <c r="B15" i="3"/>
  <c r="J15" i="3"/>
  <c r="G15" i="3"/>
  <c r="O10" i="3"/>
  <c r="O11" i="3"/>
  <c r="O5" i="3"/>
  <c r="O6" i="3"/>
  <c r="O7" i="3"/>
</calcChain>
</file>

<file path=xl/sharedStrings.xml><?xml version="1.0" encoding="utf-8"?>
<sst xmlns="http://schemas.openxmlformats.org/spreadsheetml/2006/main" count="172" uniqueCount="102">
  <si>
    <t>Andrés Arauz</t>
  </si>
  <si>
    <t>Guillermo Lasso</t>
  </si>
  <si>
    <t>Yaku Pérez</t>
  </si>
  <si>
    <t>César Montúfar</t>
  </si>
  <si>
    <t>Ximena Peña</t>
  </si>
  <si>
    <t>Lucio Gutiérrez</t>
  </si>
  <si>
    <t>Gustavo Larrea</t>
  </si>
  <si>
    <t>Isidro Romero</t>
  </si>
  <si>
    <t>Juan Velasco</t>
  </si>
  <si>
    <t>Guillermo Celi</t>
  </si>
  <si>
    <t>Otros</t>
  </si>
  <si>
    <t>Blanco</t>
  </si>
  <si>
    <t>Nulo</t>
  </si>
  <si>
    <t>Ns/Nc</t>
  </si>
  <si>
    <t>Clima Social 30/9 a 4/10</t>
  </si>
  <si>
    <t>Pulso Ciudadano 15/9 a 18/9</t>
  </si>
  <si>
    <t>Eureknow 26/8 a 6/9</t>
  </si>
  <si>
    <t>Omar Maluk octubre</t>
  </si>
  <si>
    <t>Omar Simón octubre</t>
  </si>
  <si>
    <t>Atlas Intel 8/9 a 14/9</t>
  </si>
  <si>
    <t>Elecciones presidenciales Ecuador, 7 de febrero de 2021</t>
  </si>
  <si>
    <t>Últimas encuestas</t>
  </si>
  <si>
    <t>Últimas encuestas (proyección sobre voto válido)</t>
  </si>
  <si>
    <t>Cedatos 16/10</t>
  </si>
  <si>
    <t>Clima Social 8/11 a 11/11</t>
  </si>
  <si>
    <t>Big Data 9/11</t>
  </si>
  <si>
    <t>Álvaro Noboa</t>
  </si>
  <si>
    <t>Cedatos 15/11</t>
  </si>
  <si>
    <t>Promedio</t>
  </si>
  <si>
    <t>Comunicaliza octubre</t>
  </si>
  <si>
    <t>Cedatos 10/9 a 14/9</t>
  </si>
  <si>
    <t>Omar Maluk 30/11</t>
  </si>
  <si>
    <t>Informe Confidencial 6/11 a 9/11</t>
  </si>
  <si>
    <t>Celag 25/11 a 13/12</t>
  </si>
  <si>
    <t>Clima Social 12/12 a 15/12</t>
  </si>
  <si>
    <t>Eureknow 14/12 a 22/12</t>
  </si>
  <si>
    <t>Estrategia Consultores al 23/12</t>
  </si>
  <si>
    <t>Atlas Intel 23/12 a 29/12</t>
  </si>
  <si>
    <t>Informe Confidencial 24/11 a 27/11</t>
  </si>
  <si>
    <t xml:space="preserve">Perfiles de Opinión CON NOBOA 12/2020 </t>
  </si>
  <si>
    <t>Perfiles de Opinión SIN NOBOA diciembre</t>
  </si>
  <si>
    <t>IESOP Inf. Confidencial 24/11 a 27/11</t>
  </si>
  <si>
    <t>IESOP Inf. Confidencial 6/11 a 9/11</t>
  </si>
  <si>
    <t>Mercanalisis CON NOBOA 15/12 a 23/12</t>
  </si>
  <si>
    <t>Mercanalisis SIN NOBOA 15/12 a 23/12</t>
  </si>
  <si>
    <t>Omar Maluk  7/12 a 23/12</t>
  </si>
  <si>
    <t>TOTAL NO DEFINIDOS</t>
  </si>
  <si>
    <t>Click Report Enero 2021</t>
  </si>
  <si>
    <t>PROMEDIO</t>
  </si>
  <si>
    <t>OTROS</t>
  </si>
  <si>
    <t>Perfiles de Opinión CON NOBOA 19/12 a 26/12</t>
  </si>
  <si>
    <t>Muestreo Postestratificado, representativo de la población target. Se seleccionaron aleatoriamente
entrevistados en todas las provincias de Ecuador. Las respuestas de la muestra final tienen pesos estimados con
un algoritmo de raking para garantizar la representatividad en 5 variables clave: sexo, región, edad, ingresos y
voto en las elecciones presidenciales de Ecuador de 2017, población adulta de Ecuador, 3.125 casos a través de selección aleatoria en la web, margen de error +/- 2%</t>
  </si>
  <si>
    <t>Muestreo estratificado con afijación proporcional en base al peso electoral de cada provincia, 5.000 casos, margen de error +/-2%</t>
  </si>
  <si>
    <t>Presencial, 6.300 casos</t>
  </si>
  <si>
    <t>Entrevistas personales utilizando un cuestionario semi-estructurado, población de 18 a 65 años de edad residentes y votantes, 4.576 entrevistas, margen de error +/- 1.4%</t>
  </si>
  <si>
    <t>Muestreo aleatorio simple, entrevistas cara a cara en hogares, población mayores de 16 años registrados para votar en elecciones 2021, 2.280 encuestas, margen de error +/- 1.5%</t>
  </si>
  <si>
    <t>Muestreo desde panel georreferenciado. Quito y Guayaquil como dominios autorepresentados y Resto país como dominio corepresentado, residentes en las regiones señaladas entre 18 y 65 años, encuestas online usand un cuestionario estructurado, 1.400 casos, margen de error +/- 2.6%</t>
  </si>
  <si>
    <t>Mustra realizada a partir del padrón electoral, encuestas en hogar a personas mayores de 16 años habilitadas para votar en la parroquia donde son entrevistadas, 3.500 casos, margen de error +/-1.8%</t>
  </si>
  <si>
    <t>Muestra probabilística estratificada por región, población mayor de 16 años, 3.000 entrevistas presenciales, margen de error +/-2.2%</t>
  </si>
  <si>
    <t>Sin datos</t>
  </si>
  <si>
    <t>Muestra aleatoria, entrevistas telefónicas, población mayor de 16 años en zonas urbanas, 2.600 casos, margen de error +/-3.5%</t>
  </si>
  <si>
    <t>Entrevistas mensuales en promedio de 1.670 ecuatorianos en 14 ciudades, en capacidad de votar, sistema CATI, margen de error +/-3.5%</t>
  </si>
  <si>
    <t>Mustra realizada a partir del padrón electoral, encuestas en hogar a personas mayores de 16 años habilitadas para votar en la parroquia donde son entrevistadas, 2.579 casos, margen de error +/-1.9%</t>
  </si>
  <si>
    <t>Encuesta probabilística con sistema CATI a personas mayores de 16 años, 1.800 casos, margen de error +/-3.2%</t>
  </si>
  <si>
    <t>2 enucuestas conjuntas: encuesta a) presencial, 2.000 casos y encuesta b) vía redes sociales, 4.435 casos. Total 6.435 casos, margen de error conjunto cercano al 4%</t>
  </si>
  <si>
    <t>Sin datos (2500 casos)</t>
  </si>
  <si>
    <t>Mustra realizada a partir del padrón electoral, encuestas en hogar a personas mayores de 16 años habilitadas para votar en la parroquia donde son entrevistadas, 2.017 casos, margen de error +/-2.2%</t>
  </si>
  <si>
    <t>Muestra no probabilística, entrevistas estratificadas aproporcionalmente por género, edad y ciduad de residencia y luego ponderada por el peso real de dichas variables, selección en base al padrón electoral de las 3 principales ciudades el país (Quito, Guayaquil y Cuenca), entrevistas vía telefónica (CATI) a través de un panel representativo con cobertura nacional, 1.400 entrevistas, margen de error +/-2.9%</t>
  </si>
  <si>
    <t>Muestreo Postestratificado, representativo de la población target. Se seleccionaron aleatoriamente
entrevistados en todas las provincias de Ecuador. Las respuestas de la muestra final tienen pesos estimados con
un algoritmo de raking para garantizar la representatividad en 5 variables clave: sexo, región, edad, ingresos y
voto en las elecciones presidenciales de Ecuador de 2017, población adulta de Ecuador, 3.772 casos a través de selección aleatoria en la web, margen de error +/- 2%</t>
  </si>
  <si>
    <t>Muestreo desde panel georreferenciado. Quito y Guayaquil como dominios autorepresentados y Resto país como dominio corepresentado, residentes en las regiones señaladas entre 18 y 65 años, encuestas online usand un cuestionario estructurado, 750 casos, margen de error +/- 3.6%</t>
  </si>
  <si>
    <t>Fecha</t>
  </si>
  <si>
    <t>diseno_enc</t>
  </si>
  <si>
    <t>Arauz</t>
  </si>
  <si>
    <t>Lasso</t>
  </si>
  <si>
    <t>Perez</t>
  </si>
  <si>
    <t>Montufar</t>
  </si>
  <si>
    <t>Pena</t>
  </si>
  <si>
    <t>Gutierrez</t>
  </si>
  <si>
    <t>Larrea</t>
  </si>
  <si>
    <t>Romero</t>
  </si>
  <si>
    <t>Velasco</t>
  </si>
  <si>
    <t>Celi</t>
  </si>
  <si>
    <t>Blancos</t>
  </si>
  <si>
    <t>NSNR</t>
  </si>
  <si>
    <t>Encuestador</t>
  </si>
  <si>
    <t>Click report</t>
  </si>
  <si>
    <t>Mercanalisis</t>
  </si>
  <si>
    <t>IESOP</t>
  </si>
  <si>
    <t>Comunicaliza</t>
  </si>
  <si>
    <t>Cedatos</t>
  </si>
  <si>
    <t>Eureknow</t>
  </si>
  <si>
    <t>Perfiles de Opinión</t>
  </si>
  <si>
    <t>Estrategia Consultores</t>
  </si>
  <si>
    <t>Clima Social</t>
  </si>
  <si>
    <t>Omar Maluk</t>
  </si>
  <si>
    <t>Pulso Ciudadano</t>
  </si>
  <si>
    <t>Atlas Intel</t>
  </si>
  <si>
    <t xml:space="preserve">IESOP </t>
  </si>
  <si>
    <t>Omar Simon</t>
  </si>
  <si>
    <t>ini_enc</t>
  </si>
  <si>
    <t>fin_enc</t>
  </si>
  <si>
    <t>encuesta_raw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</si>
</sst>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164" fontId="0" fillId="0" borderId="0" xfId="1" applyNumberFormat="1" applyFont="1"/>
    <xf numFmtId="0" fontId="0" fillId="0" borderId="1" xfId="0" applyBorder="1"/>
    <xf numFmtId="164" fontId="0" fillId="0" borderId="1" xfId="1" applyNumberFormat="1" applyFont="1" applyBorder="1"/>
    <xf numFmtId="164" fontId="0" fillId="0" borderId="1" xfId="1" applyNumberFormat="1" applyFont="1" applyBorder="1" applyAlignment="1">
      <alignment horizontal="center"/>
    </xf>
    <xf numFmtId="0" fontId="0" fillId="0" borderId="0" xfId="0" applyBorder="1"/>
    <xf numFmtId="164" fontId="0" fillId="0" borderId="0" xfId="1" applyNumberFormat="1" applyFont="1" applyBorder="1"/>
    <xf numFmtId="164" fontId="0" fillId="0" borderId="1" xfId="1" applyNumberFormat="1" applyFont="1" applyBorder="1" applyAlignment="1">
      <alignment horizontal="center"/>
    </xf>
    <xf numFmtId="0" fontId="2" fillId="0" borderId="1" xfId="0" applyFont="1" applyFill="1" applyBorder="1"/>
    <xf numFmtId="164" fontId="2" fillId="0" borderId="1" xfId="1" applyNumberFormat="1" applyFont="1" applyBorder="1"/>
    <xf numFmtId="10" fontId="0" fillId="0" borderId="1" xfId="0" applyNumberFormat="1" applyBorder="1"/>
    <xf numFmtId="164" fontId="0" fillId="0" borderId="1" xfId="1" applyNumberFormat="1" applyFont="1" applyBorder="1" applyAlignment="1">
      <alignment horizontal="center"/>
    </xf>
    <xf numFmtId="164" fontId="0" fillId="0" borderId="2" xfId="1" applyNumberFormat="1" applyFont="1" applyBorder="1" applyAlignment="1">
      <alignment horizontal="center"/>
    </xf>
    <xf numFmtId="164" fontId="0" fillId="0" borderId="3" xfId="1" applyNumberFormat="1" applyFont="1" applyBorder="1" applyAlignment="1">
      <alignment horizontal="center"/>
    </xf>
    <xf numFmtId="164" fontId="0" fillId="0" borderId="0" xfId="1" applyNumberFormat="1" applyFont="1" applyAlignment="1">
      <alignment horizontal="center"/>
    </xf>
    <xf numFmtId="164" fontId="0" fillId="0" borderId="0" xfId="1" applyNumberFormat="1" applyFont="1" applyBorder="1" applyAlignment="1">
      <alignment horizontal="center"/>
    </xf>
    <xf numFmtId="10" fontId="0" fillId="0" borderId="2" xfId="0" applyNumberFormat="1" applyBorder="1"/>
    <xf numFmtId="10" fontId="0" fillId="0" borderId="3" xfId="0" applyNumberFormat="1" applyBorder="1"/>
    <xf numFmtId="9" fontId="0" fillId="0" borderId="2" xfId="0" applyNumberFormat="1" applyBorder="1"/>
    <xf numFmtId="0" fontId="0" fillId="0" borderId="5" xfId="0" applyFill="1" applyBorder="1"/>
    <xf numFmtId="10" fontId="0" fillId="0" borderId="0" xfId="0" applyNumberFormat="1"/>
    <xf numFmtId="2" fontId="0" fillId="0" borderId="0" xfId="0" applyNumberFormat="1"/>
    <xf numFmtId="10" fontId="0" fillId="0" borderId="1" xfId="1" applyNumberFormat="1" applyFont="1" applyBorder="1"/>
    <xf numFmtId="2" fontId="0" fillId="0" borderId="0" xfId="0" applyNumberFormat="1" applyAlignment="1"/>
    <xf numFmtId="14" fontId="0" fillId="0" borderId="1" xfId="0" applyNumberFormat="1" applyBorder="1"/>
    <xf numFmtId="164" fontId="0" fillId="0" borderId="2" xfId="1" applyNumberFormat="1" applyFont="1" applyBorder="1" applyAlignment="1">
      <alignment horizontal="center"/>
    </xf>
    <xf numFmtId="164" fontId="0" fillId="0" borderId="3" xfId="1" applyNumberFormat="1" applyFont="1" applyBorder="1" applyAlignment="1">
      <alignment horizontal="center"/>
    </xf>
    <xf numFmtId="0" fontId="0" fillId="0" borderId="1" xfId="0" applyBorder="1" applyAlignment="1">
      <alignment horizontal="center"/>
    </xf>
    <xf numFmtId="10" fontId="0" fillId="0" borderId="4" xfId="0" applyNumberFormat="1" applyBorder="1" applyAlignment="1">
      <alignment horizontal="center"/>
    </xf>
    <xf numFmtId="10" fontId="0" fillId="0" borderId="3" xfId="0" applyNumberFormat="1" applyBorder="1" applyAlignment="1">
      <alignment horizontal="center"/>
    </xf>
    <xf numFmtId="164" fontId="0" fillId="0" borderId="0" xfId="1" applyNumberFormat="1" applyFont="1" applyAlignment="1">
      <alignment horizontal="center"/>
    </xf>
    <xf numFmtId="164" fontId="0" fillId="0" borderId="0" xfId="1" applyNumberFormat="1" applyFont="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'Votos válidos CON NOBOA'!$B$40</c:f>
              <c:strCache>
                <c:ptCount val="1"/>
                <c:pt idx="0">
                  <c:v>PROMEDIO</c:v>
                </c:pt>
              </c:strCache>
            </c:strRef>
          </c:tx>
          <c:spPr>
            <a:solidFill>
              <a:schemeClr val="accent1"/>
            </a:solidFill>
            <a:ln>
              <a:noFill/>
            </a:ln>
            <a:effectLst/>
          </c:spPr>
          <c:invertIfNegative val="0"/>
          <c:cat>
            <c:strRef>
              <c:f>'Votos válidos CON NOBOA'!$A$41:$A$45</c:f>
              <c:strCache>
                <c:ptCount val="5"/>
                <c:pt idx="0">
                  <c:v>Andrés Arauz</c:v>
                </c:pt>
                <c:pt idx="1">
                  <c:v>Guillermo Lasso</c:v>
                </c:pt>
                <c:pt idx="2">
                  <c:v>Yaku Pérez</c:v>
                </c:pt>
                <c:pt idx="3">
                  <c:v>Álvaro Noboa</c:v>
                </c:pt>
                <c:pt idx="4">
                  <c:v>OTROS</c:v>
                </c:pt>
              </c:strCache>
            </c:strRef>
          </c:cat>
          <c:val>
            <c:numRef>
              <c:f>'Votos válidos CON NOBOA'!$B$41:$B$45</c:f>
              <c:numCache>
                <c:formatCode>0.00%</c:formatCode>
                <c:ptCount val="5"/>
                <c:pt idx="0">
                  <c:v>0.30039665097274865</c:v>
                </c:pt>
                <c:pt idx="1">
                  <c:v>0.22052156482706414</c:v>
                </c:pt>
                <c:pt idx="2">
                  <c:v>0.12907811848818751</c:v>
                </c:pt>
                <c:pt idx="3">
                  <c:v>0.22446227884860076</c:v>
                </c:pt>
                <c:pt idx="4">
                  <c:v>0.12568770671940138</c:v>
                </c:pt>
              </c:numCache>
            </c:numRef>
          </c:val>
          <c:extLst>
            <c:ext xmlns:c16="http://schemas.microsoft.com/office/drawing/2014/chart" uri="{C3380CC4-5D6E-409C-BE32-E72D297353CC}">
              <c16:uniqueId val="{00000007-8694-7F41-A156-5514045A06BD}"/>
            </c:ext>
          </c:extLst>
        </c:ser>
        <c:dLbls>
          <c:showLegendKey val="0"/>
          <c:showVal val="0"/>
          <c:showCatName val="0"/>
          <c:showSerName val="0"/>
          <c:showPercent val="0"/>
          <c:showBubbleSize val="0"/>
        </c:dLbls>
        <c:gapWidth val="150"/>
        <c:axId val="1931230207"/>
        <c:axId val="1907663151"/>
      </c:barChart>
      <c:scatterChart>
        <c:scatterStyle val="lineMarker"/>
        <c:varyColors val="0"/>
        <c:ser>
          <c:idx val="1"/>
          <c:order val="1"/>
          <c:tx>
            <c:strRef>
              <c:f>'Votos válidos CON NOBOA'!$C$40</c:f>
              <c:strCache>
                <c:ptCount val="1"/>
                <c:pt idx="0">
                  <c:v>Click Report Enero 2021</c:v>
                </c:pt>
              </c:strCache>
            </c:strRef>
          </c:tx>
          <c:spPr>
            <a:ln w="25400" cap="rnd">
              <a:noFill/>
              <a:round/>
            </a:ln>
            <a:effectLst/>
          </c:spPr>
          <c:marker>
            <c:symbol val="circle"/>
            <c:size val="5"/>
            <c:spPr>
              <a:solidFill>
                <a:schemeClr val="accent2"/>
              </a:solidFill>
              <a:ln w="9525">
                <a:solidFill>
                  <a:schemeClr val="accent2"/>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NOBOA'!$C$41:$C$45</c:f>
              <c:numCache>
                <c:formatCode>0.00%</c:formatCode>
                <c:ptCount val="5"/>
                <c:pt idx="0">
                  <c:v>0.29926043317485473</c:v>
                </c:pt>
                <c:pt idx="1">
                  <c:v>0.24841521394611726</c:v>
                </c:pt>
                <c:pt idx="2">
                  <c:v>0.12625462229265716</c:v>
                </c:pt>
                <c:pt idx="3">
                  <c:v>0.25290544109878499</c:v>
                </c:pt>
                <c:pt idx="4">
                  <c:v>7.3164289487585854E-2</c:v>
                </c:pt>
              </c:numCache>
            </c:numRef>
          </c:yVal>
          <c:smooth val="0"/>
          <c:extLst>
            <c:ext xmlns:c16="http://schemas.microsoft.com/office/drawing/2014/chart" uri="{C3380CC4-5D6E-409C-BE32-E72D297353CC}">
              <c16:uniqueId val="{00000008-8694-7F41-A156-5514045A06BD}"/>
            </c:ext>
          </c:extLst>
        </c:ser>
        <c:ser>
          <c:idx val="2"/>
          <c:order val="2"/>
          <c:tx>
            <c:strRef>
              <c:f>'Votos válidos CON NOBOA'!$D$40</c:f>
              <c:strCache>
                <c:ptCount val="1"/>
                <c:pt idx="0">
                  <c:v>Atlas Intel 23/12 a 29/12</c:v>
                </c:pt>
              </c:strCache>
            </c:strRef>
          </c:tx>
          <c:spPr>
            <a:ln w="25400" cap="rnd">
              <a:noFill/>
              <a:round/>
            </a:ln>
            <a:effectLst/>
          </c:spPr>
          <c:marker>
            <c:symbol val="circle"/>
            <c:size val="5"/>
            <c:spPr>
              <a:solidFill>
                <a:schemeClr val="accent3"/>
              </a:solidFill>
              <a:ln w="9525">
                <a:solidFill>
                  <a:schemeClr val="accent3"/>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NOBOA'!$D$41:$D$45</c:f>
              <c:numCache>
                <c:formatCode>0.00%</c:formatCode>
                <c:ptCount val="5"/>
                <c:pt idx="0">
                  <c:v>0.38435754189944132</c:v>
                </c:pt>
                <c:pt idx="1">
                  <c:v>0.29832402234636873</c:v>
                </c:pt>
                <c:pt idx="2">
                  <c:v>9.1620111731843576E-2</c:v>
                </c:pt>
                <c:pt idx="3">
                  <c:v>0.12960893854748604</c:v>
                </c:pt>
                <c:pt idx="4">
                  <c:v>9.6089385474860331E-2</c:v>
                </c:pt>
              </c:numCache>
            </c:numRef>
          </c:yVal>
          <c:smooth val="0"/>
          <c:extLst>
            <c:ext xmlns:c16="http://schemas.microsoft.com/office/drawing/2014/chart" uri="{C3380CC4-5D6E-409C-BE32-E72D297353CC}">
              <c16:uniqueId val="{00000009-8694-7F41-A156-5514045A06BD}"/>
            </c:ext>
          </c:extLst>
        </c:ser>
        <c:ser>
          <c:idx val="3"/>
          <c:order val="3"/>
          <c:tx>
            <c:strRef>
              <c:f>'Votos válidos CON NOBOA'!$E$40</c:f>
              <c:strCache>
                <c:ptCount val="1"/>
                <c:pt idx="0">
                  <c:v>Mercanalisis CON NOBOA 15/12 a 23/12</c:v>
                </c:pt>
              </c:strCache>
            </c:strRef>
          </c:tx>
          <c:spPr>
            <a:ln w="25400" cap="rnd">
              <a:noFill/>
              <a:round/>
            </a:ln>
            <a:effectLst/>
          </c:spPr>
          <c:marker>
            <c:symbol val="circle"/>
            <c:size val="5"/>
            <c:spPr>
              <a:solidFill>
                <a:schemeClr val="accent4"/>
              </a:solidFill>
              <a:ln w="9525">
                <a:solidFill>
                  <a:schemeClr val="accent4"/>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NOBOA'!$E$41:$E$45</c:f>
              <c:numCache>
                <c:formatCode>0.00%</c:formatCode>
                <c:ptCount val="5"/>
                <c:pt idx="0">
                  <c:v>0.2711864406779661</c:v>
                </c:pt>
                <c:pt idx="1">
                  <c:v>0.25423728813559321</c:v>
                </c:pt>
                <c:pt idx="2">
                  <c:v>0.10169491525423729</c:v>
                </c:pt>
                <c:pt idx="3">
                  <c:v>0.11864406779661019</c:v>
                </c:pt>
                <c:pt idx="4">
                  <c:v>0.25423728813559326</c:v>
                </c:pt>
              </c:numCache>
            </c:numRef>
          </c:yVal>
          <c:smooth val="0"/>
          <c:extLst>
            <c:ext xmlns:c16="http://schemas.microsoft.com/office/drawing/2014/chart" uri="{C3380CC4-5D6E-409C-BE32-E72D297353CC}">
              <c16:uniqueId val="{0000000D-8694-7F41-A156-5514045A06BD}"/>
            </c:ext>
          </c:extLst>
        </c:ser>
        <c:ser>
          <c:idx val="4"/>
          <c:order val="4"/>
          <c:tx>
            <c:strRef>
              <c:f>'Votos válidos CON NOBOA'!$F$40</c:f>
              <c:strCache>
                <c:ptCount val="1"/>
                <c:pt idx="0">
                  <c:v>Omar Maluk  7/12 a 23/12</c:v>
                </c:pt>
              </c:strCache>
            </c:strRef>
          </c:tx>
          <c:spPr>
            <a:ln w="25400" cap="rnd">
              <a:noFill/>
              <a:round/>
            </a:ln>
            <a:effectLst/>
          </c:spPr>
          <c:marker>
            <c:symbol val="circle"/>
            <c:size val="5"/>
            <c:spPr>
              <a:solidFill>
                <a:schemeClr val="accent5"/>
              </a:solidFill>
              <a:ln w="9525">
                <a:solidFill>
                  <a:schemeClr val="accent5"/>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NOBOA'!$F$41:$F$45</c:f>
              <c:numCache>
                <c:formatCode>0.00%</c:formatCode>
                <c:ptCount val="5"/>
                <c:pt idx="0">
                  <c:v>0.28809152366094642</c:v>
                </c:pt>
                <c:pt idx="1">
                  <c:v>0.14807592303692149</c:v>
                </c:pt>
                <c:pt idx="2">
                  <c:v>9.06136245449818E-2</c:v>
                </c:pt>
                <c:pt idx="3">
                  <c:v>0.37441497659906392</c:v>
                </c:pt>
                <c:pt idx="4">
                  <c:v>9.8803952158086308E-2</c:v>
                </c:pt>
              </c:numCache>
            </c:numRef>
          </c:yVal>
          <c:smooth val="0"/>
          <c:extLst>
            <c:ext xmlns:c16="http://schemas.microsoft.com/office/drawing/2014/chart" uri="{C3380CC4-5D6E-409C-BE32-E72D297353CC}">
              <c16:uniqueId val="{0000000E-8694-7F41-A156-5514045A06BD}"/>
            </c:ext>
          </c:extLst>
        </c:ser>
        <c:ser>
          <c:idx val="5"/>
          <c:order val="5"/>
          <c:tx>
            <c:strRef>
              <c:f>'Votos válidos CON NOBOA'!$G$40</c:f>
              <c:strCache>
                <c:ptCount val="1"/>
                <c:pt idx="0">
                  <c:v>Perfiles de Opinión CON NOBOA 12/2020 </c:v>
                </c:pt>
              </c:strCache>
            </c:strRef>
          </c:tx>
          <c:spPr>
            <a:ln w="25400" cap="rnd">
              <a:noFill/>
              <a:round/>
            </a:ln>
            <a:effectLst/>
          </c:spPr>
          <c:marker>
            <c:symbol val="circle"/>
            <c:size val="5"/>
            <c:spPr>
              <a:solidFill>
                <a:schemeClr val="accent6"/>
              </a:solidFill>
              <a:ln w="9525">
                <a:solidFill>
                  <a:schemeClr val="accent6"/>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NOBOA'!$G$41:$G$45</c:f>
              <c:numCache>
                <c:formatCode>0.00%</c:formatCode>
                <c:ptCount val="5"/>
                <c:pt idx="0">
                  <c:v>0.34211292200232829</c:v>
                </c:pt>
                <c:pt idx="1">
                  <c:v>0.1788416763678696</c:v>
                </c:pt>
                <c:pt idx="2">
                  <c:v>0.14391734575087312</c:v>
                </c:pt>
                <c:pt idx="3">
                  <c:v>0.24563445867287542</c:v>
                </c:pt>
                <c:pt idx="4">
                  <c:v>8.9348079161816057E-2</c:v>
                </c:pt>
              </c:numCache>
            </c:numRef>
          </c:yVal>
          <c:smooth val="0"/>
          <c:extLst>
            <c:ext xmlns:c16="http://schemas.microsoft.com/office/drawing/2014/chart" uri="{C3380CC4-5D6E-409C-BE32-E72D297353CC}">
              <c16:uniqueId val="{0000000F-8694-7F41-A156-5514045A06BD}"/>
            </c:ext>
          </c:extLst>
        </c:ser>
        <c:ser>
          <c:idx val="6"/>
          <c:order val="6"/>
          <c:tx>
            <c:strRef>
              <c:f>'Votos válidos CON NOBOA'!$H$40</c:f>
              <c:strCache>
                <c:ptCount val="1"/>
                <c:pt idx="0">
                  <c:v>Eureknow 14/12 a 22/12</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NOBOA'!$H$41:$H$45</c:f>
              <c:numCache>
                <c:formatCode>0.00%</c:formatCode>
                <c:ptCount val="5"/>
                <c:pt idx="0">
                  <c:v>0.22657952069716777</c:v>
                </c:pt>
                <c:pt idx="1">
                  <c:v>0.21786492374727673</c:v>
                </c:pt>
                <c:pt idx="2">
                  <c:v>9.9128540305010893E-2</c:v>
                </c:pt>
                <c:pt idx="3">
                  <c:v>0.2581699346405229</c:v>
                </c:pt>
                <c:pt idx="4">
                  <c:v>0.19825708061002179</c:v>
                </c:pt>
              </c:numCache>
            </c:numRef>
          </c:yVal>
          <c:smooth val="0"/>
          <c:extLst>
            <c:ext xmlns:c16="http://schemas.microsoft.com/office/drawing/2014/chart" uri="{C3380CC4-5D6E-409C-BE32-E72D297353CC}">
              <c16:uniqueId val="{00000010-8694-7F41-A156-5514045A06BD}"/>
            </c:ext>
          </c:extLst>
        </c:ser>
        <c:ser>
          <c:idx val="7"/>
          <c:order val="7"/>
          <c:tx>
            <c:strRef>
              <c:f>'Votos válidos CON NOBOA'!$I$40</c:f>
              <c:strCache>
                <c:ptCount val="1"/>
                <c:pt idx="0">
                  <c:v>Clima Social 12/12 a 15/12</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NOBOA'!$I$41:$I$45</c:f>
              <c:numCache>
                <c:formatCode>0.00%</c:formatCode>
                <c:ptCount val="5"/>
                <c:pt idx="0">
                  <c:v>0.29757343550447002</c:v>
                </c:pt>
                <c:pt idx="1">
                  <c:v>0.17752234993614308</c:v>
                </c:pt>
                <c:pt idx="2">
                  <c:v>0.16347381864623245</c:v>
                </c:pt>
                <c:pt idx="3">
                  <c:v>0.13793103448275865</c:v>
                </c:pt>
                <c:pt idx="4">
                  <c:v>0.22477650063856958</c:v>
                </c:pt>
              </c:numCache>
            </c:numRef>
          </c:yVal>
          <c:smooth val="0"/>
          <c:extLst>
            <c:ext xmlns:c16="http://schemas.microsoft.com/office/drawing/2014/chart" uri="{C3380CC4-5D6E-409C-BE32-E72D297353CC}">
              <c16:uniqueId val="{00000015-8694-7F41-A156-5514045A06BD}"/>
            </c:ext>
          </c:extLst>
        </c:ser>
        <c:ser>
          <c:idx val="8"/>
          <c:order val="8"/>
          <c:tx>
            <c:strRef>
              <c:f>'Votos válidos CON NOBOA'!$J$40</c:f>
              <c:strCache>
                <c:ptCount val="1"/>
                <c:pt idx="0">
                  <c:v>Celag 25/11 a 13/12</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NOBOA'!$J$41:$J$45</c:f>
              <c:numCache>
                <c:formatCode>0.00%</c:formatCode>
                <c:ptCount val="5"/>
                <c:pt idx="0">
                  <c:v>0.36553524804177556</c:v>
                </c:pt>
                <c:pt idx="1">
                  <c:v>0.13577023498694518</c:v>
                </c:pt>
                <c:pt idx="2">
                  <c:v>0.21148825065274154</c:v>
                </c:pt>
                <c:pt idx="3">
                  <c:v>0.22845953002610966</c:v>
                </c:pt>
                <c:pt idx="4">
                  <c:v>5.8746736292428207E-2</c:v>
                </c:pt>
              </c:numCache>
            </c:numRef>
          </c:yVal>
          <c:smooth val="0"/>
          <c:extLst>
            <c:ext xmlns:c16="http://schemas.microsoft.com/office/drawing/2014/chart" uri="{C3380CC4-5D6E-409C-BE32-E72D297353CC}">
              <c16:uniqueId val="{00000019-8694-7F41-A156-5514045A06BD}"/>
            </c:ext>
          </c:extLst>
        </c:ser>
        <c:ser>
          <c:idx val="9"/>
          <c:order val="9"/>
          <c:tx>
            <c:strRef>
              <c:f>'Votos válidos CON NOBOA'!$K$40</c:f>
              <c:strCache>
                <c:ptCount val="1"/>
                <c:pt idx="0">
                  <c:v>Omar Maluk 30/11</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NOBOA'!$K$41:$K$45</c:f>
              <c:numCache>
                <c:formatCode>0.00%</c:formatCode>
                <c:ptCount val="5"/>
                <c:pt idx="0">
                  <c:v>0.28172043010752684</c:v>
                </c:pt>
                <c:pt idx="1">
                  <c:v>0.1062126642771804</c:v>
                </c:pt>
                <c:pt idx="2">
                  <c:v>7.323775388291516E-2</c:v>
                </c:pt>
                <c:pt idx="3">
                  <c:v>0.3801672640382317</c:v>
                </c:pt>
                <c:pt idx="4">
                  <c:v>0.15913978494623654</c:v>
                </c:pt>
              </c:numCache>
            </c:numRef>
          </c:yVal>
          <c:smooth val="0"/>
          <c:extLst>
            <c:ext xmlns:c16="http://schemas.microsoft.com/office/drawing/2014/chart" uri="{C3380CC4-5D6E-409C-BE32-E72D297353CC}">
              <c16:uniqueId val="{0000001D-8694-7F41-A156-5514045A06BD}"/>
            </c:ext>
          </c:extLst>
        </c:ser>
        <c:ser>
          <c:idx val="10"/>
          <c:order val="10"/>
          <c:tx>
            <c:strRef>
              <c:f>'Votos válidos CON NOBOA'!$L$40</c:f>
              <c:strCache>
                <c:ptCount val="1"/>
                <c:pt idx="0">
                  <c:v>Informe Confidencial 24/11 a 27/11</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NOBOA'!$L$41:$L$45</c:f>
              <c:numCache>
                <c:formatCode>0.00%</c:formatCode>
                <c:ptCount val="5"/>
                <c:pt idx="0">
                  <c:v>0.29850746268656714</c:v>
                </c:pt>
                <c:pt idx="1">
                  <c:v>0.2537313432835821</c:v>
                </c:pt>
                <c:pt idx="2">
                  <c:v>0.17910447761194029</c:v>
                </c:pt>
                <c:pt idx="3">
                  <c:v>0.17910447761194029</c:v>
                </c:pt>
                <c:pt idx="4">
                  <c:v>8.9552238805970144E-2</c:v>
                </c:pt>
              </c:numCache>
            </c:numRef>
          </c:yVal>
          <c:smooth val="0"/>
          <c:extLst>
            <c:ext xmlns:c16="http://schemas.microsoft.com/office/drawing/2014/chart" uri="{C3380CC4-5D6E-409C-BE32-E72D297353CC}">
              <c16:uniqueId val="{00000021-8694-7F41-A156-5514045A06BD}"/>
            </c:ext>
          </c:extLst>
        </c:ser>
        <c:ser>
          <c:idx val="11"/>
          <c:order val="11"/>
          <c:tx>
            <c:strRef>
              <c:f>'Votos válidos CON NOBOA'!$M$40</c:f>
              <c:strCache>
                <c:ptCount val="1"/>
                <c:pt idx="0">
                  <c:v>Cedatos 15/11</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strRef>
              <c:f>'Votos válidos CON NOBOA'!$A$41:$A$45</c:f>
              <c:strCache>
                <c:ptCount val="5"/>
                <c:pt idx="0">
                  <c:v>Andrés Arauz</c:v>
                </c:pt>
                <c:pt idx="1">
                  <c:v>Guillermo Lasso</c:v>
                </c:pt>
                <c:pt idx="2">
                  <c:v>Yaku Pérez</c:v>
                </c:pt>
                <c:pt idx="3">
                  <c:v>Álvaro Noboa</c:v>
                </c:pt>
                <c:pt idx="4">
                  <c:v>OTROS</c:v>
                </c:pt>
              </c:strCache>
            </c:strRef>
          </c:xVal>
          <c:yVal>
            <c:numRef>
              <c:f>'Votos válidos CON NOBOA'!$M$41:$M$45</c:f>
              <c:numCache>
                <c:formatCode>0.00%</c:formatCode>
                <c:ptCount val="5"/>
                <c:pt idx="0">
                  <c:v>0.24943820224719102</c:v>
                </c:pt>
                <c:pt idx="1">
                  <c:v>0.40674157303370784</c:v>
                </c:pt>
                <c:pt idx="2">
                  <c:v>0.1393258426966292</c:v>
                </c:pt>
                <c:pt idx="3">
                  <c:v>0.16404494382022472</c:v>
                </c:pt>
                <c:pt idx="4">
                  <c:v>4.0449438202247189E-2</c:v>
                </c:pt>
              </c:numCache>
            </c:numRef>
          </c:yVal>
          <c:smooth val="0"/>
          <c:extLst>
            <c:ext xmlns:c16="http://schemas.microsoft.com/office/drawing/2014/chart" uri="{C3380CC4-5D6E-409C-BE32-E72D297353CC}">
              <c16:uniqueId val="{00000026-8694-7F41-A156-5514045A06BD}"/>
            </c:ext>
          </c:extLst>
        </c:ser>
        <c:dLbls>
          <c:showLegendKey val="0"/>
          <c:showVal val="0"/>
          <c:showCatName val="0"/>
          <c:showSerName val="0"/>
          <c:showPercent val="0"/>
          <c:showBubbleSize val="0"/>
        </c:dLbls>
        <c:axId val="1931230207"/>
        <c:axId val="1907663151"/>
      </c:scatterChart>
      <c:catAx>
        <c:axId val="1931230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907663151"/>
        <c:crosses val="autoZero"/>
        <c:auto val="1"/>
        <c:lblAlgn val="ctr"/>
        <c:lblOffset val="100"/>
        <c:noMultiLvlLbl val="0"/>
      </c:catAx>
      <c:valAx>
        <c:axId val="1907663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30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1114778</xdr:colOff>
      <xdr:row>50</xdr:row>
      <xdr:rowOff>126999</xdr:rowOff>
    </xdr:from>
    <xdr:to>
      <xdr:col>25</xdr:col>
      <xdr:colOff>691901</xdr:colOff>
      <xdr:row>84</xdr:row>
      <xdr:rowOff>109497</xdr:rowOff>
    </xdr:to>
    <xdr:graphicFrame macro="">
      <xdr:nvGraphicFramePr>
        <xdr:cNvPr id="2" name="Gráfico 1">
          <a:extLst>
            <a:ext uri="{FF2B5EF4-FFF2-40B4-BE49-F238E27FC236}">
              <a16:creationId xmlns:a16="http://schemas.microsoft.com/office/drawing/2014/main" id="{E6BA95B7-9D27-F14F-A8D2-BAC1530A3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
  <sheetViews>
    <sheetView tabSelected="1" zoomScaleNormal="100" workbookViewId="0">
      <selection activeCell="A2" sqref="A2"/>
    </sheetView>
  </sheetViews>
  <sheetFormatPr defaultColWidth="11.5546875" defaultRowHeight="14.4" x14ac:dyDescent="0.3"/>
  <cols>
    <col min="1" max="1" width="39.33203125" customWidth="1"/>
    <col min="2" max="2" width="25.5546875" customWidth="1"/>
    <col min="3" max="5" width="39.33203125" customWidth="1"/>
    <col min="6" max="6" width="19.109375" bestFit="1" customWidth="1"/>
    <col min="7" max="7" width="15" bestFit="1" customWidth="1"/>
    <col min="8" max="8" width="17.109375" customWidth="1"/>
    <col min="9" max="9" width="19" bestFit="1" customWidth="1"/>
    <col min="10" max="10" width="18.88671875" bestFit="1" customWidth="1"/>
    <col min="11" max="11" width="14.33203125" bestFit="1" customWidth="1"/>
    <col min="12" max="12" width="14" bestFit="1" customWidth="1"/>
    <col min="13" max="13" width="13.44140625" bestFit="1" customWidth="1"/>
    <col min="14" max="14" width="12.33203125" bestFit="1" customWidth="1"/>
    <col min="15" max="15" width="13.6640625" bestFit="1" customWidth="1"/>
    <col min="16" max="16" width="6.109375" bestFit="1" customWidth="1"/>
    <col min="17" max="17" width="9.6640625" customWidth="1"/>
    <col min="18" max="18" width="9" bestFit="1" customWidth="1"/>
    <col min="19" max="19" width="7.6640625" bestFit="1" customWidth="1"/>
  </cols>
  <sheetData>
    <row r="1" spans="1:20" x14ac:dyDescent="0.3">
      <c r="A1" s="2" t="s">
        <v>101</v>
      </c>
      <c r="B1" s="2" t="s">
        <v>84</v>
      </c>
      <c r="C1" s="2" t="s">
        <v>99</v>
      </c>
      <c r="D1" s="2" t="s">
        <v>100</v>
      </c>
      <c r="E1" s="2" t="s">
        <v>70</v>
      </c>
      <c r="F1" s="2" t="s">
        <v>72</v>
      </c>
      <c r="G1" s="2" t="s">
        <v>73</v>
      </c>
      <c r="H1" s="2" t="s">
        <v>74</v>
      </c>
      <c r="I1" s="2" t="s">
        <v>75</v>
      </c>
      <c r="J1" s="2" t="s">
        <v>76</v>
      </c>
      <c r="K1" s="2" t="s">
        <v>77</v>
      </c>
      <c r="L1" s="2" t="s">
        <v>78</v>
      </c>
      <c r="M1" s="2" t="s">
        <v>79</v>
      </c>
      <c r="N1" s="2" t="s">
        <v>80</v>
      </c>
      <c r="O1" s="2" t="s">
        <v>81</v>
      </c>
      <c r="P1" s="2" t="s">
        <v>10</v>
      </c>
      <c r="Q1" s="2" t="s">
        <v>82</v>
      </c>
      <c r="R1" s="2" t="s">
        <v>12</v>
      </c>
      <c r="S1" s="2" t="s">
        <v>83</v>
      </c>
      <c r="T1" s="19" t="s">
        <v>71</v>
      </c>
    </row>
    <row r="2" spans="1:20" x14ac:dyDescent="0.3">
      <c r="A2" s="2" t="s">
        <v>47</v>
      </c>
      <c r="B2" s="2" t="s">
        <v>85</v>
      </c>
      <c r="C2" s="24">
        <v>44227</v>
      </c>
      <c r="D2" s="24">
        <v>44227</v>
      </c>
      <c r="E2" s="24">
        <f t="shared" ref="E2:E5" si="0">AVERAGE(C2:D2)</f>
        <v>44227</v>
      </c>
      <c r="F2" s="10">
        <v>0.23749999999999999</v>
      </c>
      <c r="G2" s="10">
        <v>0.22470000000000001</v>
      </c>
      <c r="H2" s="10">
        <v>0.13170000000000001</v>
      </c>
      <c r="I2" s="10">
        <v>8.9999999999999993E-3</v>
      </c>
      <c r="J2" s="10">
        <v>9.1000000000000004E-3</v>
      </c>
      <c r="K2" s="10">
        <v>2.1000000000000001E-2</v>
      </c>
      <c r="L2" s="10">
        <v>2.7000000000000001E-3</v>
      </c>
      <c r="M2" s="10">
        <v>1.5100000000000001E-2</v>
      </c>
      <c r="N2" s="10">
        <v>9.1000000000000004E-3</v>
      </c>
      <c r="O2" s="10">
        <v>7.1999999999999998E-3</v>
      </c>
      <c r="P2" s="10">
        <v>1.78E-2</v>
      </c>
      <c r="Q2" s="20">
        <v>8.0299999999999996E-2</v>
      </c>
      <c r="R2" s="20">
        <v>0.23480000000000001</v>
      </c>
      <c r="T2" s="20" t="s">
        <v>55</v>
      </c>
    </row>
    <row r="3" spans="1:20" x14ac:dyDescent="0.3">
      <c r="A3" s="2" t="s">
        <v>44</v>
      </c>
      <c r="B3" s="2" t="s">
        <v>86</v>
      </c>
      <c r="C3" s="24">
        <v>44180</v>
      </c>
      <c r="D3" s="24">
        <v>44188</v>
      </c>
      <c r="E3" s="24">
        <f t="shared" si="0"/>
        <v>44184</v>
      </c>
      <c r="F3" s="10">
        <v>0.17599999999999999</v>
      </c>
      <c r="G3" s="10">
        <v>0.17199999999999999</v>
      </c>
      <c r="H3" s="10">
        <v>6.4000000000000001E-2</v>
      </c>
      <c r="I3" s="10">
        <v>6.0000000000000001E-3</v>
      </c>
      <c r="J3" s="10">
        <v>1.2E-2</v>
      </c>
      <c r="K3" s="10">
        <v>2.8000000000000001E-2</v>
      </c>
      <c r="L3" s="10">
        <v>6.0000000000000001E-3</v>
      </c>
      <c r="M3" s="10">
        <v>2.1000000000000001E-2</v>
      </c>
      <c r="N3" s="10">
        <v>1.2999999999999999E-2</v>
      </c>
      <c r="O3" s="10">
        <v>1.2E-2</v>
      </c>
      <c r="P3" s="10">
        <v>4.3999999999999997E-2</v>
      </c>
      <c r="Q3" s="16">
        <v>0.23</v>
      </c>
      <c r="R3" s="17">
        <v>0.216</v>
      </c>
      <c r="S3" s="10"/>
      <c r="T3" t="s">
        <v>52</v>
      </c>
    </row>
    <row r="4" spans="1:20" x14ac:dyDescent="0.3">
      <c r="A4" s="2" t="s">
        <v>40</v>
      </c>
      <c r="B4" s="2" t="s">
        <v>91</v>
      </c>
      <c r="C4" s="24">
        <v>44196</v>
      </c>
      <c r="D4" s="24">
        <v>44196</v>
      </c>
      <c r="E4" s="24">
        <f t="shared" si="0"/>
        <v>44196</v>
      </c>
      <c r="F4" s="10">
        <v>0.25750000000000001</v>
      </c>
      <c r="G4" s="10">
        <v>0.1522</v>
      </c>
      <c r="H4" s="10">
        <v>0.11840000000000001</v>
      </c>
      <c r="I4" s="10">
        <v>4.4999999999999997E-3</v>
      </c>
      <c r="J4" s="10">
        <v>1.72E-2</v>
      </c>
      <c r="K4" s="10">
        <v>1.47E-2</v>
      </c>
      <c r="L4" s="10">
        <v>3.0999999999999999E-3</v>
      </c>
      <c r="M4" s="10">
        <v>1.0999999999999999E-2</v>
      </c>
      <c r="N4" s="10">
        <v>4.5999999999999999E-3</v>
      </c>
      <c r="O4" s="10">
        <v>3.8999999999999998E-3</v>
      </c>
      <c r="P4" s="10">
        <v>8.8000000000000005E-3</v>
      </c>
      <c r="Q4" s="16">
        <v>9.0399999999999994E-2</v>
      </c>
      <c r="R4" s="17">
        <v>0.31369999999999998</v>
      </c>
      <c r="S4" s="2"/>
      <c r="T4" t="s">
        <v>54</v>
      </c>
    </row>
    <row r="5" spans="1:20" x14ac:dyDescent="0.3">
      <c r="A5" s="2" t="s">
        <v>36</v>
      </c>
      <c r="B5" s="2" t="s">
        <v>92</v>
      </c>
      <c r="C5" s="24">
        <v>44188</v>
      </c>
      <c r="D5" s="24">
        <v>44188</v>
      </c>
      <c r="E5" s="24">
        <f t="shared" si="0"/>
        <v>44188</v>
      </c>
      <c r="F5" s="3">
        <v>0.223</v>
      </c>
      <c r="G5" s="3">
        <v>0.20200000000000001</v>
      </c>
      <c r="H5" s="3">
        <v>0.17399999999999999</v>
      </c>
      <c r="I5" s="3">
        <v>2.7E-2</v>
      </c>
      <c r="J5" s="3"/>
      <c r="K5" s="3">
        <v>2.1000000000000001E-2</v>
      </c>
      <c r="L5" s="3">
        <v>2.5000000000000001E-2</v>
      </c>
      <c r="M5" s="3">
        <v>4.2999999999999997E-2</v>
      </c>
      <c r="N5" s="3">
        <v>1.2E-2</v>
      </c>
      <c r="O5" s="3"/>
      <c r="P5" s="3">
        <v>9.8000000000000004E-2</v>
      </c>
      <c r="Q5" s="3"/>
      <c r="R5" s="3">
        <v>8.8999999999999996E-2</v>
      </c>
      <c r="S5" s="3">
        <v>8.5999999999999993E-2</v>
      </c>
      <c r="T5" t="s">
        <v>59</v>
      </c>
    </row>
    <row r="6" spans="1:20" x14ac:dyDescent="0.3">
      <c r="A6" s="2" t="s">
        <v>41</v>
      </c>
      <c r="B6" s="2" t="s">
        <v>97</v>
      </c>
      <c r="C6" s="24">
        <v>44159</v>
      </c>
      <c r="D6" s="24">
        <v>44162</v>
      </c>
      <c r="E6" s="24">
        <f>AVERAGE(C6:D6)</f>
        <v>44160.5</v>
      </c>
      <c r="F6" s="3">
        <v>0.21</v>
      </c>
      <c r="G6" s="3">
        <v>0.19</v>
      </c>
      <c r="H6" s="3">
        <v>0.12</v>
      </c>
      <c r="I6" s="3">
        <v>0.02</v>
      </c>
      <c r="J6" s="3"/>
      <c r="K6" s="3">
        <v>0.01</v>
      </c>
      <c r="L6" s="3"/>
      <c r="M6" s="3">
        <v>0.01</v>
      </c>
      <c r="N6" s="3"/>
      <c r="O6" s="3"/>
      <c r="P6" s="3">
        <v>0.03</v>
      </c>
      <c r="Q6" s="3">
        <v>0.09</v>
      </c>
      <c r="R6" s="3">
        <v>0.32</v>
      </c>
      <c r="S6" s="3"/>
      <c r="T6" t="s">
        <v>60</v>
      </c>
    </row>
    <row r="7" spans="1:20" x14ac:dyDescent="0.3">
      <c r="A7" s="2" t="s">
        <v>24</v>
      </c>
      <c r="B7" s="2" t="s">
        <v>93</v>
      </c>
      <c r="C7" s="24">
        <v>44143</v>
      </c>
      <c r="D7" s="24">
        <v>44146</v>
      </c>
      <c r="E7" s="24">
        <f>AVERAGE(C7:D7)</f>
        <v>44144.5</v>
      </c>
      <c r="F7" s="3">
        <v>0.23</v>
      </c>
      <c r="G7" s="3">
        <v>0.2</v>
      </c>
      <c r="H7" s="3">
        <v>0.129</v>
      </c>
      <c r="I7" s="3">
        <v>8.0000000000000002E-3</v>
      </c>
      <c r="J7" s="3">
        <v>2.5999999999999999E-2</v>
      </c>
      <c r="K7" s="3">
        <v>3.9E-2</v>
      </c>
      <c r="L7" s="3">
        <v>1.7000000000000001E-2</v>
      </c>
      <c r="M7" s="3">
        <v>2.4E-2</v>
      </c>
      <c r="N7" s="3">
        <v>0.01</v>
      </c>
      <c r="O7" s="3">
        <v>7.0000000000000001E-3</v>
      </c>
      <c r="P7" s="3">
        <v>2.1999999999999999E-2</v>
      </c>
      <c r="Q7" s="3">
        <v>3.5000000000000003E-2</v>
      </c>
      <c r="R7" s="3">
        <v>0.112</v>
      </c>
      <c r="S7" s="3">
        <v>0.13900000000000001</v>
      </c>
      <c r="T7" s="21" t="s">
        <v>62</v>
      </c>
    </row>
    <row r="8" spans="1:20" x14ac:dyDescent="0.3">
      <c r="A8" s="2" t="s">
        <v>42</v>
      </c>
      <c r="B8" s="2" t="s">
        <v>87</v>
      </c>
      <c r="C8" s="24">
        <v>44141</v>
      </c>
      <c r="D8" s="24">
        <v>44144</v>
      </c>
      <c r="E8" s="24">
        <f t="shared" ref="E8:E17" si="1">AVERAGE(C8:D8)</f>
        <v>44142.5</v>
      </c>
      <c r="F8" s="3">
        <v>0.216</v>
      </c>
      <c r="G8" s="3">
        <v>0.17</v>
      </c>
      <c r="H8" s="3">
        <v>0.13500000000000001</v>
      </c>
      <c r="I8" s="3">
        <v>1.6E-2</v>
      </c>
      <c r="J8" s="3">
        <v>3.0000000000000001E-3</v>
      </c>
      <c r="K8" s="3">
        <v>1.2E-2</v>
      </c>
      <c r="L8" s="3">
        <v>4.0000000000000001E-3</v>
      </c>
      <c r="M8" s="3">
        <v>4.0000000000000001E-3</v>
      </c>
      <c r="N8" s="3">
        <v>1.7000000000000001E-2</v>
      </c>
      <c r="O8" s="3">
        <v>2E-3</v>
      </c>
      <c r="P8" s="3">
        <v>2E-3</v>
      </c>
      <c r="Q8" s="3">
        <v>0.151</v>
      </c>
      <c r="R8" s="3">
        <v>0.26600000000000001</v>
      </c>
      <c r="S8" s="3">
        <v>1E-3</v>
      </c>
      <c r="T8" t="s">
        <v>59</v>
      </c>
    </row>
    <row r="9" spans="1:20" x14ac:dyDescent="0.3">
      <c r="A9" s="2" t="s">
        <v>29</v>
      </c>
      <c r="B9" s="2" t="s">
        <v>88</v>
      </c>
      <c r="C9" s="24">
        <v>44135</v>
      </c>
      <c r="D9" s="24">
        <v>44135</v>
      </c>
      <c r="E9" s="24">
        <f t="shared" si="1"/>
        <v>44135</v>
      </c>
      <c r="F9" s="3">
        <v>0.193</v>
      </c>
      <c r="G9" s="3">
        <v>0.17699999999999999</v>
      </c>
      <c r="H9" s="3">
        <v>0.184</v>
      </c>
      <c r="I9" s="3"/>
      <c r="J9" s="3">
        <v>3.2000000000000001E-2</v>
      </c>
      <c r="K9" s="3">
        <v>1.7000000000000001E-2</v>
      </c>
      <c r="L9" s="3"/>
      <c r="M9" s="3">
        <v>1.6E-2</v>
      </c>
      <c r="N9" s="3"/>
      <c r="O9" s="3"/>
      <c r="P9" s="7">
        <v>5.0999999999999997E-2</v>
      </c>
      <c r="Q9" s="7"/>
      <c r="R9" s="7">
        <v>0.16400000000000001</v>
      </c>
      <c r="S9" s="7">
        <v>0.16600000000000001</v>
      </c>
      <c r="T9" t="s">
        <v>59</v>
      </c>
    </row>
    <row r="10" spans="1:20" x14ac:dyDescent="0.3">
      <c r="A10" s="2" t="s">
        <v>23</v>
      </c>
      <c r="B10" s="2" t="s">
        <v>89</v>
      </c>
      <c r="C10" s="24">
        <v>44120</v>
      </c>
      <c r="D10" s="24">
        <v>44120</v>
      </c>
      <c r="E10" s="24">
        <f t="shared" si="1"/>
        <v>44120</v>
      </c>
      <c r="F10" s="3">
        <v>0.19700000000000001</v>
      </c>
      <c r="G10" s="3">
        <v>0.26100000000000001</v>
      </c>
      <c r="H10" s="3">
        <v>0.13100000000000001</v>
      </c>
      <c r="I10" s="3">
        <v>0.01</v>
      </c>
      <c r="J10" s="3">
        <v>0.01</v>
      </c>
      <c r="K10" s="3">
        <v>0.01</v>
      </c>
      <c r="L10" s="3">
        <v>0.01</v>
      </c>
      <c r="M10" s="3">
        <v>0.01</v>
      </c>
      <c r="N10" s="3">
        <v>0.01</v>
      </c>
      <c r="O10" s="3">
        <v>0.01</v>
      </c>
      <c r="P10" s="3"/>
      <c r="Q10" s="3">
        <v>8.7999999999999995E-2</v>
      </c>
      <c r="R10" s="3">
        <v>0.249</v>
      </c>
      <c r="S10" s="3"/>
      <c r="T10" s="1" t="s">
        <v>63</v>
      </c>
    </row>
    <row r="11" spans="1:20" x14ac:dyDescent="0.3">
      <c r="A11" s="2" t="s">
        <v>17</v>
      </c>
      <c r="B11" s="2" t="s">
        <v>94</v>
      </c>
      <c r="C11" s="24">
        <v>44135</v>
      </c>
      <c r="D11" s="24">
        <v>44135</v>
      </c>
      <c r="E11" s="24">
        <f t="shared" si="1"/>
        <v>44135</v>
      </c>
      <c r="F11" s="3">
        <v>0.308</v>
      </c>
      <c r="G11" s="3">
        <v>0.23799999999999999</v>
      </c>
      <c r="H11" s="3">
        <v>8.7999999999999995E-2</v>
      </c>
      <c r="I11" s="3">
        <v>2.8000000000000001E-2</v>
      </c>
      <c r="J11" s="3">
        <v>8.0000000000000002E-3</v>
      </c>
      <c r="K11" s="3">
        <v>2.1999999999999999E-2</v>
      </c>
      <c r="L11" s="3">
        <v>2.1999999999999999E-2</v>
      </c>
      <c r="M11" s="3">
        <v>2.4E-2</v>
      </c>
      <c r="N11" s="3"/>
      <c r="O11" s="3">
        <v>1.0999999999999999E-2</v>
      </c>
      <c r="P11" s="3">
        <v>2.1000000000000001E-2</v>
      </c>
      <c r="Q11" s="3"/>
      <c r="R11" s="3"/>
      <c r="S11" s="3">
        <v>0.23100000000000001</v>
      </c>
      <c r="T11" s="1" t="s">
        <v>64</v>
      </c>
    </row>
    <row r="12" spans="1:20" x14ac:dyDescent="0.3">
      <c r="A12" s="2" t="s">
        <v>18</v>
      </c>
      <c r="B12" s="2" t="s">
        <v>98</v>
      </c>
      <c r="C12" s="24">
        <v>44135</v>
      </c>
      <c r="D12" s="24">
        <v>44135</v>
      </c>
      <c r="E12" s="24">
        <f t="shared" si="1"/>
        <v>44135</v>
      </c>
      <c r="F12" s="3">
        <v>0.249</v>
      </c>
      <c r="G12" s="3">
        <v>0.111</v>
      </c>
      <c r="H12" s="3">
        <v>0.153</v>
      </c>
      <c r="I12" s="3">
        <v>1.0999999999999999E-2</v>
      </c>
      <c r="J12" s="3">
        <v>1.7999999999999999E-2</v>
      </c>
      <c r="K12" s="3">
        <v>0.02</v>
      </c>
      <c r="L12" s="3">
        <v>2E-3</v>
      </c>
      <c r="M12" s="3"/>
      <c r="N12" s="3">
        <v>1.9E-2</v>
      </c>
      <c r="O12" s="3">
        <v>5.0000000000000001E-3</v>
      </c>
      <c r="P12" s="3">
        <v>3.6999999999999998E-2</v>
      </c>
      <c r="Q12" s="3">
        <v>6.8000000000000005E-2</v>
      </c>
      <c r="R12" s="3">
        <v>0.21299999999999999</v>
      </c>
      <c r="S12" s="3">
        <v>9.5000000000000001E-2</v>
      </c>
      <c r="T12" s="1" t="s">
        <v>65</v>
      </c>
    </row>
    <row r="13" spans="1:20" x14ac:dyDescent="0.3">
      <c r="A13" s="2" t="s">
        <v>14</v>
      </c>
      <c r="B13" s="2" t="s">
        <v>93</v>
      </c>
      <c r="C13" s="24">
        <v>44104</v>
      </c>
      <c r="D13" s="24">
        <v>44108</v>
      </c>
      <c r="E13" s="24">
        <f t="shared" si="1"/>
        <v>44106</v>
      </c>
      <c r="F13" s="3">
        <v>0.186</v>
      </c>
      <c r="G13" s="3">
        <v>0.215</v>
      </c>
      <c r="H13" s="3">
        <v>0.107</v>
      </c>
      <c r="I13" s="3">
        <v>1.7000000000000001E-2</v>
      </c>
      <c r="J13" s="3">
        <v>4.5999999999999999E-2</v>
      </c>
      <c r="K13" s="3">
        <v>0.03</v>
      </c>
      <c r="L13" s="3">
        <v>3.9E-2</v>
      </c>
      <c r="M13" s="3">
        <v>1.7000000000000001E-2</v>
      </c>
      <c r="N13" s="3">
        <v>1.7000000000000001E-2</v>
      </c>
      <c r="O13" s="3">
        <v>1.7999999999999999E-2</v>
      </c>
      <c r="P13" s="3">
        <v>6.0000000000000001E-3</v>
      </c>
      <c r="Q13" s="3">
        <v>2.1000000000000001E-2</v>
      </c>
      <c r="R13" s="3">
        <v>0.12</v>
      </c>
      <c r="S13" s="3">
        <v>0.161</v>
      </c>
      <c r="T13" s="21" t="s">
        <v>66</v>
      </c>
    </row>
    <row r="14" spans="1:20" x14ac:dyDescent="0.3">
      <c r="A14" s="2" t="s">
        <v>15</v>
      </c>
      <c r="B14" s="2" t="s">
        <v>95</v>
      </c>
      <c r="C14" s="24">
        <v>44089</v>
      </c>
      <c r="D14" s="24">
        <v>44092</v>
      </c>
      <c r="E14" s="24">
        <f t="shared" si="1"/>
        <v>44090.5</v>
      </c>
      <c r="F14" s="3">
        <v>0.21049999999999999</v>
      </c>
      <c r="G14" s="3">
        <v>0.19120000000000001</v>
      </c>
      <c r="H14" s="3">
        <v>6.1699999999999998E-2</v>
      </c>
      <c r="I14" s="3">
        <v>6.0199999999999997E-2</v>
      </c>
      <c r="J14" s="3">
        <v>1.7999999999999999E-2</v>
      </c>
      <c r="K14" s="3">
        <v>1.8800000000000001E-2</v>
      </c>
      <c r="L14" s="3">
        <v>4.0599999999999997E-2</v>
      </c>
      <c r="M14" s="3">
        <v>4.3200000000000002E-2</v>
      </c>
      <c r="N14" s="2"/>
      <c r="O14" s="3">
        <v>9.7000000000000003E-3</v>
      </c>
      <c r="P14" s="3">
        <v>2.5000000000000001E-2</v>
      </c>
      <c r="Q14" s="3"/>
      <c r="R14" s="3"/>
      <c r="S14" s="3">
        <v>0.32200000000000001</v>
      </c>
      <c r="T14" s="1" t="s">
        <v>67</v>
      </c>
    </row>
    <row r="15" spans="1:20" x14ac:dyDescent="0.3">
      <c r="A15" s="2" t="s">
        <v>30</v>
      </c>
      <c r="B15" s="2" t="s">
        <v>89</v>
      </c>
      <c r="C15" s="24">
        <v>44084</v>
      </c>
      <c r="D15" s="24">
        <v>44088</v>
      </c>
      <c r="E15" s="24">
        <f t="shared" si="1"/>
        <v>44086</v>
      </c>
      <c r="F15" s="3">
        <v>0.123</v>
      </c>
      <c r="G15" s="3">
        <v>0.16300000000000001</v>
      </c>
      <c r="H15" s="3">
        <v>5.5E-2</v>
      </c>
      <c r="I15" s="3">
        <v>6.0000000000000001E-3</v>
      </c>
      <c r="J15" s="3">
        <v>8.0000000000000002E-3</v>
      </c>
      <c r="K15" s="3">
        <v>7.0000000000000001E-3</v>
      </c>
      <c r="L15" s="3"/>
      <c r="M15" s="3">
        <v>5.0000000000000001E-3</v>
      </c>
      <c r="N15" s="3">
        <v>5.0000000000000001E-3</v>
      </c>
      <c r="O15" s="3">
        <v>5.0000000000000001E-3</v>
      </c>
      <c r="P15" s="3">
        <v>2.7E-2</v>
      </c>
      <c r="Q15" s="11">
        <v>6.0000000000000001E-3</v>
      </c>
      <c r="R15" s="3">
        <v>0.27200000000000002</v>
      </c>
      <c r="S15" s="3">
        <v>0.318</v>
      </c>
      <c r="T15" s="21" t="s">
        <v>61</v>
      </c>
    </row>
    <row r="16" spans="1:20" x14ac:dyDescent="0.3">
      <c r="A16" s="2" t="s">
        <v>19</v>
      </c>
      <c r="B16" s="2" t="s">
        <v>96</v>
      </c>
      <c r="C16" s="24">
        <v>44082</v>
      </c>
      <c r="D16" s="24">
        <v>44088</v>
      </c>
      <c r="E16" s="24">
        <f t="shared" si="1"/>
        <v>44085</v>
      </c>
      <c r="F16" s="3">
        <v>0.45900000000000002</v>
      </c>
      <c r="G16" s="3">
        <v>0.32</v>
      </c>
      <c r="H16" s="3">
        <v>4.2999999999999997E-2</v>
      </c>
      <c r="I16" s="3">
        <v>1.0999999999999999E-2</v>
      </c>
      <c r="J16" s="3">
        <v>2E-3</v>
      </c>
      <c r="K16" s="3">
        <v>3.0000000000000001E-3</v>
      </c>
      <c r="L16" s="3">
        <v>3.0000000000000001E-3</v>
      </c>
      <c r="M16" s="3">
        <v>8.9999999999999993E-3</v>
      </c>
      <c r="N16" s="3">
        <v>2E-3</v>
      </c>
      <c r="O16" s="3">
        <v>8.9999999999999993E-3</v>
      </c>
      <c r="P16" s="3">
        <v>3.2000000000000001E-2</v>
      </c>
      <c r="Q16" s="4">
        <v>6.0999999999999999E-2</v>
      </c>
      <c r="R16" s="4"/>
      <c r="S16" s="3">
        <v>4.4999999999999998E-2</v>
      </c>
      <c r="T16" s="23" t="s">
        <v>68</v>
      </c>
    </row>
    <row r="17" spans="1:20" x14ac:dyDescent="0.3">
      <c r="A17" s="2" t="s">
        <v>16</v>
      </c>
      <c r="B17" s="2" t="s">
        <v>90</v>
      </c>
      <c r="C17" s="24">
        <v>44069</v>
      </c>
      <c r="D17" s="24">
        <v>44080</v>
      </c>
      <c r="E17" s="24">
        <f t="shared" si="1"/>
        <v>44074.5</v>
      </c>
      <c r="F17" s="3">
        <v>0.22</v>
      </c>
      <c r="G17" s="3">
        <v>0.23100000000000001</v>
      </c>
      <c r="H17" s="3">
        <v>0.20499999999999999</v>
      </c>
      <c r="I17" s="3">
        <v>9.9000000000000005E-2</v>
      </c>
      <c r="J17" s="3"/>
      <c r="K17" s="3"/>
      <c r="L17" s="3"/>
      <c r="M17" s="3">
        <v>6.6000000000000003E-2</v>
      </c>
      <c r="N17" s="3"/>
      <c r="O17" s="3"/>
      <c r="P17" s="3">
        <v>0.107</v>
      </c>
      <c r="Q17" s="4">
        <v>7.1999999999999995E-2</v>
      </c>
      <c r="R17" s="4"/>
      <c r="S17" s="3"/>
      <c r="T17" s="21" t="s">
        <v>69</v>
      </c>
    </row>
    <row r="18" spans="1:20" x14ac:dyDescent="0.3">
      <c r="T18" s="1"/>
    </row>
    <row r="23" spans="1:20" x14ac:dyDescent="0.3">
      <c r="T23" s="1"/>
    </row>
    <row r="24" spans="1:20" x14ac:dyDescent="0.3">
      <c r="T24" s="1"/>
    </row>
    <row r="25" spans="1:20" x14ac:dyDescent="0.3">
      <c r="T25" s="1"/>
    </row>
    <row r="26" spans="1:20" x14ac:dyDescent="0.3">
      <c r="T26" s="1"/>
    </row>
    <row r="27" spans="1:20" x14ac:dyDescent="0.3">
      <c r="T27" s="1"/>
    </row>
    <row r="28" spans="1:20" x14ac:dyDescent="0.3">
      <c r="F28" s="1"/>
      <c r="G28" s="1"/>
      <c r="H28" s="1"/>
      <c r="I28" s="1"/>
      <c r="J28" s="1"/>
      <c r="K28" s="1"/>
      <c r="L28" s="1"/>
      <c r="M28" s="1"/>
      <c r="N28" s="1"/>
      <c r="O28" s="1"/>
      <c r="P28" s="1"/>
      <c r="Q28" s="1"/>
      <c r="R28" s="1"/>
      <c r="S28" s="1"/>
      <c r="T28" s="1"/>
    </row>
    <row r="29" spans="1:20" x14ac:dyDescent="0.3">
      <c r="F29" s="1"/>
      <c r="G29" s="1"/>
      <c r="H29" s="1"/>
      <c r="I29" s="1"/>
      <c r="J29" s="1"/>
      <c r="K29" s="1"/>
      <c r="L29" s="1"/>
      <c r="M29" s="1"/>
      <c r="N29" s="1"/>
      <c r="O29" s="1"/>
      <c r="P29" s="1"/>
      <c r="Q29" s="1"/>
      <c r="R29" s="1"/>
      <c r="S29" s="1"/>
      <c r="T29" s="1"/>
    </row>
    <row r="30" spans="1:20" x14ac:dyDescent="0.3">
      <c r="F30" s="1"/>
      <c r="G30" s="1"/>
      <c r="H30" s="1"/>
      <c r="I30" s="1"/>
      <c r="J30" s="1"/>
      <c r="K30" s="1"/>
      <c r="L30" s="1"/>
      <c r="M30" s="1"/>
      <c r="N30" s="1"/>
      <c r="O30" s="1"/>
      <c r="P30" s="1"/>
      <c r="Q30" s="1"/>
      <c r="R30" s="1"/>
      <c r="S30" s="1"/>
      <c r="T30" s="1"/>
    </row>
    <row r="31" spans="1:20" x14ac:dyDescent="0.3">
      <c r="F31" s="1"/>
      <c r="G31" s="1"/>
      <c r="H31" s="1"/>
      <c r="I31" s="1"/>
      <c r="J31" s="1"/>
      <c r="K31" s="1"/>
      <c r="L31" s="1"/>
      <c r="M31" s="1"/>
      <c r="N31" s="1"/>
      <c r="O31" s="1"/>
      <c r="P31" s="1"/>
      <c r="Q31" s="1"/>
      <c r="R31" s="1"/>
      <c r="S31" s="1"/>
      <c r="T31" s="1"/>
    </row>
    <row r="32" spans="1:20" x14ac:dyDescent="0.3">
      <c r="F32" s="1"/>
      <c r="G32" s="1"/>
      <c r="H32" s="1"/>
      <c r="I32" s="1"/>
      <c r="J32" s="1"/>
      <c r="K32" s="1"/>
      <c r="L32" s="1"/>
      <c r="M32" s="1"/>
      <c r="N32" s="1"/>
      <c r="O32" s="1"/>
      <c r="P32" s="1"/>
      <c r="Q32" s="1"/>
      <c r="R32" s="1"/>
      <c r="S32" s="1"/>
      <c r="T32" s="1"/>
    </row>
    <row r="33" spans="6:20" x14ac:dyDescent="0.3">
      <c r="F33" s="1"/>
      <c r="G33" s="1"/>
      <c r="H33" s="1"/>
      <c r="I33" s="1"/>
      <c r="J33" s="1"/>
      <c r="K33" s="1"/>
      <c r="L33" s="1"/>
      <c r="M33" s="1"/>
      <c r="N33" s="1"/>
      <c r="O33" s="1"/>
      <c r="P33" s="1"/>
      <c r="Q33" s="1"/>
      <c r="R33" s="1"/>
      <c r="S33" s="1"/>
      <c r="T33"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4"/>
  <sheetViews>
    <sheetView zoomScaleNormal="100" workbookViewId="0">
      <selection activeCell="Q4" sqref="Q4"/>
    </sheetView>
  </sheetViews>
  <sheetFormatPr defaultColWidth="11.5546875" defaultRowHeight="14.4" x14ac:dyDescent="0.3"/>
  <cols>
    <col min="1" max="1" width="30.33203125" customWidth="1"/>
    <col min="2" max="2" width="19.109375" bestFit="1" customWidth="1"/>
    <col min="3" max="3" width="15" bestFit="1" customWidth="1"/>
    <col min="4" max="4" width="17.109375" customWidth="1"/>
    <col min="5" max="5" width="19" bestFit="1" customWidth="1"/>
    <col min="6" max="6" width="18.88671875" bestFit="1" customWidth="1"/>
    <col min="7" max="7" width="18.88671875" customWidth="1"/>
    <col min="8" max="8" width="14.33203125" bestFit="1" customWidth="1"/>
    <col min="9" max="9" width="14" bestFit="1" customWidth="1"/>
    <col min="10" max="10" width="13.44140625" bestFit="1" customWidth="1"/>
    <col min="11" max="11" width="12.33203125" bestFit="1" customWidth="1"/>
    <col min="12" max="12" width="13.6640625" bestFit="1" customWidth="1"/>
    <col min="13" max="13" width="6.109375" bestFit="1" customWidth="1"/>
    <col min="14" max="14" width="7.109375" bestFit="1" customWidth="1"/>
    <col min="15" max="15" width="9" bestFit="1" customWidth="1"/>
    <col min="16" max="16" width="7.6640625" bestFit="1" customWidth="1"/>
  </cols>
  <sheetData>
    <row r="1" spans="1:18" x14ac:dyDescent="0.3">
      <c r="A1" s="27" t="s">
        <v>20</v>
      </c>
      <c r="B1" s="27"/>
      <c r="C1" s="27"/>
      <c r="D1" s="27"/>
      <c r="E1" s="27"/>
      <c r="F1" s="27"/>
      <c r="G1" s="27"/>
      <c r="H1" s="27"/>
      <c r="I1" s="27"/>
      <c r="J1" s="27"/>
      <c r="K1" s="27"/>
      <c r="L1" s="27"/>
      <c r="M1" s="27"/>
      <c r="N1" s="27"/>
      <c r="O1" s="27"/>
      <c r="P1" s="27"/>
    </row>
    <row r="2" spans="1:18" x14ac:dyDescent="0.3">
      <c r="A2" s="27" t="s">
        <v>21</v>
      </c>
      <c r="B2" s="27"/>
      <c r="C2" s="27"/>
      <c r="D2" s="27"/>
      <c r="E2" s="27"/>
      <c r="F2" s="27"/>
      <c r="G2" s="27"/>
      <c r="H2" s="27"/>
      <c r="I2" s="27"/>
      <c r="J2" s="27"/>
      <c r="K2" s="27"/>
      <c r="L2" s="27"/>
      <c r="M2" s="27"/>
      <c r="N2" s="27"/>
      <c r="O2" s="27"/>
      <c r="P2" s="27"/>
    </row>
    <row r="3" spans="1:18" x14ac:dyDescent="0.3">
      <c r="A3" s="2"/>
      <c r="B3" s="2" t="s">
        <v>0</v>
      </c>
      <c r="C3" s="2" t="s">
        <v>1</v>
      </c>
      <c r="D3" s="2" t="s">
        <v>2</v>
      </c>
      <c r="E3" s="2" t="s">
        <v>3</v>
      </c>
      <c r="F3" s="2" t="s">
        <v>4</v>
      </c>
      <c r="G3" s="2" t="s">
        <v>26</v>
      </c>
      <c r="H3" s="2" t="s">
        <v>5</v>
      </c>
      <c r="I3" s="2" t="s">
        <v>6</v>
      </c>
      <c r="J3" s="2" t="s">
        <v>7</v>
      </c>
      <c r="K3" s="2" t="s">
        <v>8</v>
      </c>
      <c r="L3" s="2" t="s">
        <v>9</v>
      </c>
      <c r="M3" s="2" t="s">
        <v>10</v>
      </c>
      <c r="N3" s="2" t="s">
        <v>11</v>
      </c>
      <c r="O3" s="2" t="s">
        <v>12</v>
      </c>
      <c r="P3" s="2" t="s">
        <v>13</v>
      </c>
      <c r="Q3" s="19" t="s">
        <v>46</v>
      </c>
    </row>
    <row r="4" spans="1:18" x14ac:dyDescent="0.3">
      <c r="A4" s="2" t="s">
        <v>47</v>
      </c>
      <c r="B4" s="10">
        <v>0.2266</v>
      </c>
      <c r="C4" s="10">
        <v>0.18809999999999999</v>
      </c>
      <c r="D4" s="10">
        <v>9.5600000000000004E-2</v>
      </c>
      <c r="E4" s="10">
        <v>7.0000000000000001E-3</v>
      </c>
      <c r="F4" s="10">
        <v>5.8999999999999999E-3</v>
      </c>
      <c r="G4" s="10">
        <v>0.1915</v>
      </c>
      <c r="H4" s="10">
        <v>1.43E-2</v>
      </c>
      <c r="I4" s="10">
        <v>2E-3</v>
      </c>
      <c r="J4" s="10">
        <v>6.3E-3</v>
      </c>
      <c r="K4" s="10">
        <v>6.4999999999999997E-3</v>
      </c>
      <c r="L4" s="10">
        <v>8.0000000000000004E-4</v>
      </c>
      <c r="M4" s="10">
        <v>1.26E-2</v>
      </c>
      <c r="N4" s="16">
        <v>7.9000000000000001E-2</v>
      </c>
      <c r="O4" s="17">
        <v>0.1638</v>
      </c>
      <c r="P4" s="2"/>
      <c r="Q4" s="20">
        <f>SUM(N4:P4)</f>
        <v>0.24280000000000002</v>
      </c>
      <c r="R4" s="20" t="s">
        <v>55</v>
      </c>
    </row>
    <row r="5" spans="1:18" x14ac:dyDescent="0.3">
      <c r="A5" s="2" t="s">
        <v>37</v>
      </c>
      <c r="B5" s="3">
        <v>0.34399999999999997</v>
      </c>
      <c r="C5" s="3">
        <v>0.26700000000000002</v>
      </c>
      <c r="D5" s="3">
        <v>8.2000000000000003E-2</v>
      </c>
      <c r="E5" s="3">
        <v>0.01</v>
      </c>
      <c r="F5" s="3">
        <v>1.6E-2</v>
      </c>
      <c r="G5" s="3">
        <v>0.11600000000000001</v>
      </c>
      <c r="H5" s="3">
        <v>8.9999999999999993E-3</v>
      </c>
      <c r="I5" s="3">
        <v>4.0000000000000001E-3</v>
      </c>
      <c r="J5" s="3">
        <v>8.0000000000000002E-3</v>
      </c>
      <c r="K5" s="3">
        <v>1E-3</v>
      </c>
      <c r="L5" s="3">
        <v>2E-3</v>
      </c>
      <c r="M5" s="3">
        <v>3.5999999999999997E-2</v>
      </c>
      <c r="N5" s="25">
        <v>3.5000000000000003E-2</v>
      </c>
      <c r="O5" s="26"/>
      <c r="P5" s="3">
        <v>7.0000000000000007E-2</v>
      </c>
      <c r="Q5" s="20">
        <f t="shared" ref="Q5" si="0">SUM(N5:P5)</f>
        <v>0.10500000000000001</v>
      </c>
      <c r="R5" s="23" t="s">
        <v>51</v>
      </c>
    </row>
    <row r="6" spans="1:18" x14ac:dyDescent="0.3">
      <c r="A6" s="2" t="s">
        <v>43</v>
      </c>
      <c r="B6" s="10">
        <v>0.16</v>
      </c>
      <c r="C6" s="10">
        <v>0.15</v>
      </c>
      <c r="D6" s="10">
        <v>0.06</v>
      </c>
      <c r="E6" s="10">
        <v>0.01</v>
      </c>
      <c r="F6" s="10">
        <v>0.01</v>
      </c>
      <c r="G6" s="10">
        <v>7.0000000000000007E-2</v>
      </c>
      <c r="H6" s="10">
        <v>0.03</v>
      </c>
      <c r="I6" s="10">
        <v>0.01</v>
      </c>
      <c r="J6" s="10">
        <v>0.02</v>
      </c>
      <c r="K6" s="10">
        <v>0.01</v>
      </c>
      <c r="L6" s="10">
        <v>0.01</v>
      </c>
      <c r="M6" s="10">
        <v>0.05</v>
      </c>
      <c r="N6" s="16">
        <v>0.2</v>
      </c>
      <c r="O6" s="17">
        <v>0.21</v>
      </c>
      <c r="P6" s="10"/>
      <c r="Q6" s="20">
        <f>SUM(N6:P6)</f>
        <v>0.41000000000000003</v>
      </c>
      <c r="R6" t="s">
        <v>52</v>
      </c>
    </row>
    <row r="7" spans="1:18" x14ac:dyDescent="0.3">
      <c r="A7" s="2" t="s">
        <v>45</v>
      </c>
      <c r="B7" s="10">
        <v>0.22159999999999999</v>
      </c>
      <c r="C7" s="10">
        <v>0.1139</v>
      </c>
      <c r="D7" s="10">
        <v>6.9699999999999998E-2</v>
      </c>
      <c r="E7" s="10">
        <v>6.8999999999999999E-3</v>
      </c>
      <c r="F7" s="10">
        <v>7.4999999999999997E-3</v>
      </c>
      <c r="G7" s="10">
        <v>0.28799999999999998</v>
      </c>
      <c r="H7" s="10">
        <v>2.9399999999999999E-2</v>
      </c>
      <c r="I7" s="10">
        <v>6.3E-3</v>
      </c>
      <c r="J7" s="10">
        <v>1.7500000000000002E-2</v>
      </c>
      <c r="K7" s="10"/>
      <c r="L7" s="10">
        <v>3.8999999999999998E-3</v>
      </c>
      <c r="M7" s="10">
        <v>4.4999999999999997E-3</v>
      </c>
      <c r="N7" s="16">
        <v>3.4799999999999998E-2</v>
      </c>
      <c r="O7" s="28">
        <v>0.19600000000000001</v>
      </c>
      <c r="P7" s="29"/>
      <c r="Q7" s="20">
        <f t="shared" ref="Q7:Q8" si="1">SUM(N7:P7)</f>
        <v>0.23080000000000001</v>
      </c>
      <c r="R7" t="s">
        <v>53</v>
      </c>
    </row>
    <row r="8" spans="1:18" x14ac:dyDescent="0.3">
      <c r="A8" s="2" t="s">
        <v>50</v>
      </c>
      <c r="B8" s="10">
        <v>0.2351</v>
      </c>
      <c r="C8" s="10">
        <v>0.1229</v>
      </c>
      <c r="D8" s="10">
        <v>9.8900000000000002E-2</v>
      </c>
      <c r="E8" s="10">
        <v>3.0999999999999999E-3</v>
      </c>
      <c r="F8" s="10">
        <v>1.6500000000000001E-2</v>
      </c>
      <c r="G8" s="10">
        <v>0.16880000000000001</v>
      </c>
      <c r="H8" s="10">
        <v>1.3299999999999999E-2</v>
      </c>
      <c r="I8" s="10">
        <v>2.5000000000000001E-3</v>
      </c>
      <c r="J8" s="10">
        <v>8.5000000000000006E-3</v>
      </c>
      <c r="K8" s="10">
        <v>3.8999999999999998E-3</v>
      </c>
      <c r="L8" s="10">
        <v>4.7999999999999996E-3</v>
      </c>
      <c r="M8" s="10">
        <v>8.8000000000000005E-3</v>
      </c>
      <c r="N8" s="18">
        <v>7.0000000000000007E-2</v>
      </c>
      <c r="O8" s="17">
        <v>0.24279999999999999</v>
      </c>
      <c r="P8" s="2"/>
      <c r="Q8" s="20">
        <f t="shared" si="1"/>
        <v>0.31279999999999997</v>
      </c>
      <c r="R8" t="s">
        <v>54</v>
      </c>
    </row>
    <row r="9" spans="1:18" x14ac:dyDescent="0.3">
      <c r="A9" s="2" t="s">
        <v>35</v>
      </c>
      <c r="B9" s="3">
        <v>0.20799999999999999</v>
      </c>
      <c r="C9" s="3">
        <v>0.2</v>
      </c>
      <c r="D9" s="3">
        <v>9.0999999999999998E-2</v>
      </c>
      <c r="E9" s="3">
        <v>4.1000000000000002E-2</v>
      </c>
      <c r="F9" s="3"/>
      <c r="G9" s="3">
        <v>0.23699999999999999</v>
      </c>
      <c r="H9" s="3"/>
      <c r="I9" s="3"/>
      <c r="J9" s="3">
        <v>4.3999999999999997E-2</v>
      </c>
      <c r="K9" s="3">
        <v>3.2000000000000001E-2</v>
      </c>
      <c r="L9" s="3"/>
      <c r="M9" s="3">
        <v>6.5000000000000002E-2</v>
      </c>
      <c r="N9" s="25">
        <v>8.2000000000000003E-2</v>
      </c>
      <c r="O9" s="26"/>
      <c r="P9" s="3"/>
      <c r="Q9" s="20">
        <f t="shared" ref="Q9:Q14" si="2">SUM(N9:P9)</f>
        <v>8.2000000000000003E-2</v>
      </c>
      <c r="R9" s="21" t="s">
        <v>56</v>
      </c>
    </row>
    <row r="10" spans="1:18" x14ac:dyDescent="0.3">
      <c r="A10" s="2" t="s">
        <v>34</v>
      </c>
      <c r="B10" s="3">
        <v>0.23300000000000001</v>
      </c>
      <c r="C10" s="3">
        <v>0.13900000000000001</v>
      </c>
      <c r="D10" s="3">
        <v>0.128</v>
      </c>
      <c r="E10" s="3">
        <v>1.2999999999999999E-2</v>
      </c>
      <c r="F10" s="3">
        <v>0.03</v>
      </c>
      <c r="G10" s="3">
        <v>0.108</v>
      </c>
      <c r="H10" s="3">
        <v>2.5999999999999999E-2</v>
      </c>
      <c r="I10" s="3">
        <v>1.2E-2</v>
      </c>
      <c r="J10" s="3">
        <v>2.4E-2</v>
      </c>
      <c r="K10" s="3">
        <v>1.2E-2</v>
      </c>
      <c r="L10" s="3">
        <v>7.0000000000000001E-3</v>
      </c>
      <c r="M10" s="3">
        <v>5.1999999999999998E-2</v>
      </c>
      <c r="N10" s="3">
        <v>1.7999999999999999E-2</v>
      </c>
      <c r="O10" s="3">
        <v>6.8000000000000005E-2</v>
      </c>
      <c r="P10" s="3">
        <v>0.13100000000000001</v>
      </c>
      <c r="Q10" s="20">
        <f t="shared" si="2"/>
        <v>0.21700000000000003</v>
      </c>
      <c r="R10" s="21" t="s">
        <v>57</v>
      </c>
    </row>
    <row r="11" spans="1:18" x14ac:dyDescent="0.3">
      <c r="A11" s="2" t="s">
        <v>33</v>
      </c>
      <c r="B11" s="3">
        <v>0.28000000000000003</v>
      </c>
      <c r="C11" s="3">
        <v>0.104</v>
      </c>
      <c r="D11" s="3">
        <v>0.16200000000000001</v>
      </c>
      <c r="E11" s="3"/>
      <c r="F11" s="3">
        <v>8.9999999999999993E-3</v>
      </c>
      <c r="G11" s="3">
        <v>0.17499999999999999</v>
      </c>
      <c r="H11" s="3">
        <v>8.0000000000000002E-3</v>
      </c>
      <c r="I11" s="3">
        <v>7.0000000000000001E-3</v>
      </c>
      <c r="J11" s="3">
        <v>1.0999999999999999E-2</v>
      </c>
      <c r="K11" s="3"/>
      <c r="L11" s="3"/>
      <c r="M11" s="3">
        <v>0.01</v>
      </c>
      <c r="N11" s="25">
        <v>0.10299999999999999</v>
      </c>
      <c r="O11" s="26"/>
      <c r="P11" s="3">
        <v>0.13100000000000001</v>
      </c>
      <c r="Q11" s="20">
        <f t="shared" si="2"/>
        <v>0.23399999999999999</v>
      </c>
      <c r="R11" s="21" t="s">
        <v>58</v>
      </c>
    </row>
    <row r="12" spans="1:18" x14ac:dyDescent="0.3">
      <c r="A12" s="2" t="s">
        <v>31</v>
      </c>
      <c r="B12" s="3">
        <v>0.23580000000000001</v>
      </c>
      <c r="C12" s="3">
        <v>8.8900000000000007E-2</v>
      </c>
      <c r="D12" s="3">
        <v>6.13E-2</v>
      </c>
      <c r="E12" s="3">
        <v>1.7999999999999999E-2</v>
      </c>
      <c r="F12" s="3">
        <v>2.4799999999999999E-2</v>
      </c>
      <c r="G12" s="3">
        <v>0.31819999999999998</v>
      </c>
      <c r="H12" s="3">
        <v>1.41E-2</v>
      </c>
      <c r="I12" s="3">
        <v>8.9999999999999993E-3</v>
      </c>
      <c r="J12" s="3">
        <v>2.3599999999999999E-2</v>
      </c>
      <c r="K12" s="3"/>
      <c r="L12" s="3">
        <v>1.2999999999999999E-2</v>
      </c>
      <c r="M12" s="3">
        <v>3.0700000000000002E-2</v>
      </c>
      <c r="N12" s="3">
        <v>5.9799999999999999E-2</v>
      </c>
      <c r="O12" s="25">
        <v>0.1027</v>
      </c>
      <c r="P12" s="26"/>
      <c r="Q12" s="20">
        <f t="shared" si="2"/>
        <v>0.16250000000000001</v>
      </c>
      <c r="R12" s="21" t="s">
        <v>59</v>
      </c>
    </row>
    <row r="13" spans="1:18" x14ac:dyDescent="0.3">
      <c r="A13" s="2" t="s">
        <v>41</v>
      </c>
      <c r="B13" s="3">
        <v>0.2</v>
      </c>
      <c r="C13" s="3">
        <v>0.17</v>
      </c>
      <c r="D13" s="3">
        <v>0.12</v>
      </c>
      <c r="E13" s="3">
        <v>0.02</v>
      </c>
      <c r="F13" s="3"/>
      <c r="G13" s="3">
        <v>0.12</v>
      </c>
      <c r="H13" s="3">
        <v>0.01</v>
      </c>
      <c r="I13" s="3"/>
      <c r="J13" s="3">
        <v>0.01</v>
      </c>
      <c r="K13" s="3"/>
      <c r="L13" s="3"/>
      <c r="M13" s="3">
        <v>0.02</v>
      </c>
      <c r="N13" s="3"/>
      <c r="O13" s="12">
        <v>0.27</v>
      </c>
      <c r="P13" s="13">
        <v>0.06</v>
      </c>
      <c r="Q13" s="20">
        <f t="shared" si="2"/>
        <v>0.33</v>
      </c>
      <c r="R13" t="s">
        <v>60</v>
      </c>
    </row>
    <row r="14" spans="1:18" x14ac:dyDescent="0.3">
      <c r="A14" s="2" t="s">
        <v>27</v>
      </c>
      <c r="B14" s="3">
        <v>0.111</v>
      </c>
      <c r="C14" s="3">
        <v>0.18099999999999999</v>
      </c>
      <c r="D14" s="3">
        <v>6.2E-2</v>
      </c>
      <c r="E14" s="3">
        <v>4.0000000000000001E-3</v>
      </c>
      <c r="F14" s="3">
        <v>2E-3</v>
      </c>
      <c r="G14" s="3">
        <v>7.2999999999999995E-2</v>
      </c>
      <c r="H14" s="3">
        <v>3.0000000000000001E-3</v>
      </c>
      <c r="I14" s="3">
        <v>1E-3</v>
      </c>
      <c r="J14" s="3">
        <v>5.0000000000000001E-3</v>
      </c>
      <c r="K14" s="3">
        <v>1E-3</v>
      </c>
      <c r="L14" s="3">
        <v>2E-3</v>
      </c>
      <c r="M14" s="3"/>
      <c r="N14" s="3">
        <v>3.4000000000000002E-2</v>
      </c>
      <c r="O14" s="3">
        <v>0.28599999999999998</v>
      </c>
      <c r="P14" s="3">
        <v>0.23499999999999999</v>
      </c>
      <c r="Q14" s="20">
        <f t="shared" si="2"/>
        <v>0.55499999999999994</v>
      </c>
      <c r="R14" s="21" t="s">
        <v>61</v>
      </c>
    </row>
    <row r="15" spans="1:18" x14ac:dyDescent="0.3">
      <c r="A15" s="8" t="s">
        <v>28</v>
      </c>
      <c r="B15" s="9">
        <f>AVERAGE(B4:B14)</f>
        <v>0.22319090909090911</v>
      </c>
      <c r="C15" s="9">
        <f t="shared" ref="C15:Q15" si="3">AVERAGE(C4:C14)</f>
        <v>0.15680000000000002</v>
      </c>
      <c r="D15" s="9">
        <f t="shared" si="3"/>
        <v>9.3681818181818186E-2</v>
      </c>
      <c r="E15" s="9">
        <f t="shared" si="3"/>
        <v>1.3300000000000001E-2</v>
      </c>
      <c r="F15" s="9">
        <f t="shared" si="3"/>
        <v>1.3522222222222222E-2</v>
      </c>
      <c r="G15" s="9">
        <f t="shared" si="3"/>
        <v>0.1695909090909091</v>
      </c>
      <c r="H15" s="9">
        <f t="shared" si="3"/>
        <v>1.5710000000000002E-2</v>
      </c>
      <c r="I15" s="9">
        <f t="shared" si="3"/>
        <v>5.977777777777778E-3</v>
      </c>
      <c r="J15" s="9">
        <f t="shared" si="3"/>
        <v>1.6172727272727276E-2</v>
      </c>
      <c r="K15" s="9">
        <f t="shared" si="3"/>
        <v>9.4857142857142866E-3</v>
      </c>
      <c r="L15" s="9">
        <f t="shared" si="3"/>
        <v>5.4374999999999996E-3</v>
      </c>
      <c r="M15" s="9">
        <f t="shared" si="3"/>
        <v>2.8960000000000003E-2</v>
      </c>
      <c r="N15" s="9">
        <f t="shared" si="3"/>
        <v>7.1559999999999999E-2</v>
      </c>
      <c r="O15" s="9">
        <f t="shared" si="3"/>
        <v>0.19241250000000001</v>
      </c>
      <c r="P15" s="9">
        <f t="shared" si="3"/>
        <v>0.12540000000000001</v>
      </c>
      <c r="Q15" s="9">
        <f t="shared" si="3"/>
        <v>0.26199090909090911</v>
      </c>
      <c r="R15" s="1"/>
    </row>
    <row r="16" spans="1:18" x14ac:dyDescent="0.3">
      <c r="Q16" s="1"/>
      <c r="R16" s="1"/>
    </row>
    <row r="17" spans="2:18" x14ac:dyDescent="0.3">
      <c r="Q17" s="1"/>
      <c r="R17" s="1"/>
    </row>
    <row r="18" spans="2:18" x14ac:dyDescent="0.3">
      <c r="Q18" s="1"/>
      <c r="R18" s="1"/>
    </row>
    <row r="19" spans="2:18" x14ac:dyDescent="0.3">
      <c r="Q19" s="1"/>
      <c r="R19" s="1"/>
    </row>
    <row r="24" spans="2:18" x14ac:dyDescent="0.3">
      <c r="Q24" s="1"/>
      <c r="R24" s="1"/>
    </row>
    <row r="25" spans="2:18" x14ac:dyDescent="0.3">
      <c r="Q25" s="1"/>
      <c r="R25" s="1"/>
    </row>
    <row r="26" spans="2:18" x14ac:dyDescent="0.3">
      <c r="Q26" s="1"/>
      <c r="R26" s="1"/>
    </row>
    <row r="27" spans="2:18" x14ac:dyDescent="0.3">
      <c r="Q27" s="1"/>
      <c r="R27" s="1"/>
    </row>
    <row r="28" spans="2:18" x14ac:dyDescent="0.3">
      <c r="Q28" s="1"/>
      <c r="R28" s="1"/>
    </row>
    <row r="29" spans="2:18" x14ac:dyDescent="0.3">
      <c r="B29" s="1"/>
      <c r="C29" s="1"/>
      <c r="D29" s="1"/>
      <c r="E29" s="1"/>
      <c r="F29" s="1"/>
      <c r="G29" s="1"/>
      <c r="H29" s="1"/>
      <c r="I29" s="1"/>
      <c r="J29" s="1"/>
      <c r="K29" s="1"/>
      <c r="L29" s="1"/>
      <c r="M29" s="1"/>
      <c r="N29" s="1"/>
      <c r="O29" s="1"/>
      <c r="P29" s="1"/>
      <c r="Q29" s="1"/>
      <c r="R29" s="1"/>
    </row>
    <row r="30" spans="2:18" x14ac:dyDescent="0.3">
      <c r="B30" s="1"/>
      <c r="C30" s="1"/>
      <c r="D30" s="1"/>
      <c r="E30" s="1"/>
      <c r="F30" s="1"/>
      <c r="G30" s="1"/>
      <c r="H30" s="1"/>
      <c r="I30" s="1"/>
      <c r="J30" s="1"/>
      <c r="K30" s="1"/>
      <c r="L30" s="1"/>
      <c r="M30" s="1"/>
      <c r="N30" s="1"/>
      <c r="O30" s="1"/>
      <c r="P30" s="1"/>
      <c r="Q30" s="1"/>
      <c r="R30" s="1"/>
    </row>
    <row r="31" spans="2:18" x14ac:dyDescent="0.3">
      <c r="B31" s="1"/>
      <c r="C31" s="1"/>
      <c r="D31" s="1"/>
      <c r="E31" s="1"/>
      <c r="F31" s="1"/>
      <c r="G31" s="1"/>
      <c r="H31" s="1"/>
      <c r="I31" s="1"/>
      <c r="J31" s="1"/>
      <c r="K31" s="1"/>
      <c r="L31" s="1"/>
      <c r="M31" s="1"/>
      <c r="N31" s="1"/>
      <c r="O31" s="1"/>
      <c r="P31" s="1"/>
      <c r="Q31" s="1"/>
      <c r="R31" s="1"/>
    </row>
    <row r="32" spans="2:18" x14ac:dyDescent="0.3">
      <c r="B32" s="1"/>
      <c r="C32" s="1"/>
      <c r="D32" s="1"/>
      <c r="E32" s="1"/>
      <c r="F32" s="1"/>
      <c r="G32" s="1"/>
      <c r="H32" s="1"/>
      <c r="I32" s="1"/>
      <c r="J32" s="1"/>
      <c r="K32" s="1"/>
      <c r="L32" s="1"/>
      <c r="M32" s="1"/>
      <c r="N32" s="1"/>
      <c r="O32" s="1"/>
      <c r="P32" s="1"/>
      <c r="Q32" s="1"/>
      <c r="R32" s="1"/>
    </row>
    <row r="33" spans="2:18" x14ac:dyDescent="0.3">
      <c r="B33" s="1"/>
      <c r="C33" s="1"/>
      <c r="D33" s="1"/>
      <c r="E33" s="1"/>
      <c r="F33" s="1"/>
      <c r="G33" s="1"/>
      <c r="H33" s="1"/>
      <c r="I33" s="1"/>
      <c r="J33" s="1"/>
      <c r="K33" s="1"/>
      <c r="L33" s="1"/>
      <c r="M33" s="1"/>
      <c r="N33" s="1"/>
      <c r="O33" s="1"/>
      <c r="P33" s="1"/>
      <c r="Q33" s="1"/>
      <c r="R33" s="1"/>
    </row>
    <row r="34" spans="2:18" x14ac:dyDescent="0.3">
      <c r="B34" s="1"/>
      <c r="C34" s="1"/>
      <c r="D34" s="1"/>
      <c r="E34" s="1"/>
      <c r="F34" s="1"/>
      <c r="G34" s="1"/>
      <c r="H34" s="1"/>
      <c r="I34" s="1"/>
      <c r="J34" s="1"/>
      <c r="K34" s="1"/>
      <c r="L34" s="1"/>
      <c r="M34" s="1"/>
      <c r="N34" s="1"/>
      <c r="O34" s="1"/>
      <c r="P34" s="1"/>
      <c r="Q34" s="1"/>
      <c r="R34" s="1"/>
    </row>
  </sheetData>
  <mergeCells count="7">
    <mergeCell ref="O12:P12"/>
    <mergeCell ref="A1:P1"/>
    <mergeCell ref="A2:P2"/>
    <mergeCell ref="N9:O9"/>
    <mergeCell ref="N11:O11"/>
    <mergeCell ref="N5:O5"/>
    <mergeCell ref="O7:P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sheetPr>
  <dimension ref="A1:Q51"/>
  <sheetViews>
    <sheetView topLeftCell="A38" zoomScale="90" zoomScaleNormal="90" workbookViewId="0">
      <selection activeCell="E50" sqref="E50"/>
    </sheetView>
  </sheetViews>
  <sheetFormatPr defaultColWidth="11.5546875" defaultRowHeight="14.4" x14ac:dyDescent="0.3"/>
  <cols>
    <col min="1" max="1" width="33" bestFit="1" customWidth="1"/>
    <col min="2" max="2" width="19.109375" bestFit="1" customWidth="1"/>
    <col min="3" max="3" width="15" bestFit="1" customWidth="1"/>
    <col min="4" max="5" width="17.33203125" customWidth="1"/>
    <col min="6" max="6" width="19" bestFit="1" customWidth="1"/>
    <col min="7" max="7" width="18.88671875" bestFit="1" customWidth="1"/>
    <col min="8" max="8" width="18.88671875" customWidth="1"/>
    <col min="9" max="9" width="14.33203125" bestFit="1" customWidth="1"/>
    <col min="10" max="10" width="14" bestFit="1" customWidth="1"/>
    <col min="11" max="11" width="13.44140625" bestFit="1" customWidth="1"/>
    <col min="12" max="12" width="12.33203125" bestFit="1" customWidth="1"/>
    <col min="13" max="13" width="13.6640625" bestFit="1" customWidth="1"/>
  </cols>
  <sheetData>
    <row r="1" spans="1:16" x14ac:dyDescent="0.3">
      <c r="A1" s="27" t="s">
        <v>20</v>
      </c>
      <c r="B1" s="27"/>
      <c r="C1" s="27"/>
      <c r="D1" s="27"/>
      <c r="E1" s="27"/>
      <c r="F1" s="27"/>
      <c r="G1" s="27"/>
      <c r="H1" s="27"/>
      <c r="I1" s="27"/>
      <c r="J1" s="27"/>
      <c r="K1" s="27"/>
      <c r="L1" s="27"/>
      <c r="M1" s="27"/>
      <c r="N1" s="27"/>
    </row>
    <row r="2" spans="1:16" x14ac:dyDescent="0.3">
      <c r="A2" s="27" t="s">
        <v>22</v>
      </c>
      <c r="B2" s="27"/>
      <c r="C2" s="27"/>
      <c r="D2" s="27"/>
      <c r="E2" s="27"/>
      <c r="F2" s="27"/>
      <c r="G2" s="27"/>
      <c r="H2" s="27"/>
      <c r="I2" s="27"/>
      <c r="J2" s="27"/>
      <c r="K2" s="27"/>
      <c r="L2" s="27"/>
      <c r="M2" s="27"/>
      <c r="N2" s="27"/>
    </row>
    <row r="3" spans="1:16" x14ac:dyDescent="0.3">
      <c r="A3" s="2"/>
      <c r="B3" s="2" t="s">
        <v>0</v>
      </c>
      <c r="C3" s="2" t="s">
        <v>1</v>
      </c>
      <c r="D3" s="2" t="s">
        <v>2</v>
      </c>
      <c r="E3" s="2" t="s">
        <v>26</v>
      </c>
      <c r="F3" s="2" t="s">
        <v>3</v>
      </c>
      <c r="G3" s="2" t="s">
        <v>4</v>
      </c>
      <c r="H3" s="2" t="s">
        <v>5</v>
      </c>
      <c r="I3" s="2" t="s">
        <v>6</v>
      </c>
      <c r="J3" s="2" t="s">
        <v>7</v>
      </c>
      <c r="K3" s="2" t="s">
        <v>8</v>
      </c>
      <c r="L3" s="2" t="s">
        <v>9</v>
      </c>
      <c r="M3" s="2" t="s">
        <v>10</v>
      </c>
    </row>
    <row r="4" spans="1:16" x14ac:dyDescent="0.3">
      <c r="A4" s="2" t="s">
        <v>47</v>
      </c>
      <c r="B4" s="22">
        <f>'Idv CON NOBOA'!B4/75.72%</f>
        <v>0.29926043317485473</v>
      </c>
      <c r="C4" s="22">
        <f>'Idv CON NOBOA'!C4/75.72%</f>
        <v>0.24841521394611726</v>
      </c>
      <c r="D4" s="22">
        <f>'Idv CON NOBOA'!D4/75.72%</f>
        <v>0.12625462229265716</v>
      </c>
      <c r="E4" s="22">
        <f>'Idv CON NOBOA'!G4/75.72%</f>
        <v>0.25290544109878499</v>
      </c>
      <c r="F4" s="22">
        <f>'Idv CON NOBOA'!E4/75.72%</f>
        <v>9.244585314315901E-3</v>
      </c>
      <c r="G4" s="22">
        <f>'Idv CON NOBOA'!F4/75.72%</f>
        <v>7.7918647649234023E-3</v>
      </c>
      <c r="H4" s="22">
        <f>'Idv CON NOBOA'!H4/75.72%</f>
        <v>1.8885367142102483E-2</v>
      </c>
      <c r="I4" s="22">
        <f>'Idv CON NOBOA'!I4/75.72%</f>
        <v>2.6413100898045432E-3</v>
      </c>
      <c r="J4" s="22">
        <f>'Idv CON NOBOA'!J4/75.72%</f>
        <v>8.3201267828843101E-3</v>
      </c>
      <c r="K4" s="22">
        <f>'Idv CON NOBOA'!K4/75.72%</f>
        <v>8.5842577918647644E-3</v>
      </c>
      <c r="L4" s="22">
        <f>'Idv CON NOBOA'!L4/75.72%</f>
        <v>1.0565240359218173E-3</v>
      </c>
      <c r="M4" s="22">
        <f>'Idv CON NOBOA'!M4/75.72%</f>
        <v>1.664025356576862E-2</v>
      </c>
      <c r="N4" s="20">
        <f>SUM(F4:M4)</f>
        <v>7.3164289487585854E-2</v>
      </c>
      <c r="O4" s="20">
        <f t="shared" ref="O4:O14" si="0">SUM(B4:M4)</f>
        <v>1.0000000000000002</v>
      </c>
    </row>
    <row r="5" spans="1:16" x14ac:dyDescent="0.3">
      <c r="A5" s="2" t="s">
        <v>43</v>
      </c>
      <c r="B5" s="10">
        <f>'Idv CON NOBOA'!B5/0.59</f>
        <v>0.58305084745762714</v>
      </c>
      <c r="C5" s="10">
        <f>'Idv CON NOBOA'!C5/0.59</f>
        <v>0.45254237288135596</v>
      </c>
      <c r="D5" s="10">
        <f>'Idv CON NOBOA'!D5/0.59</f>
        <v>0.13898305084745763</v>
      </c>
      <c r="E5" s="10">
        <f>'Idv CON NOBOA'!G5/0.59</f>
        <v>0.19661016949152543</v>
      </c>
      <c r="F5" s="10">
        <f>'Idv CON NOBOA'!E5/0.59</f>
        <v>1.6949152542372881E-2</v>
      </c>
      <c r="G5" s="10">
        <f>'Idv CON NOBOA'!F5/0.59</f>
        <v>2.7118644067796613E-2</v>
      </c>
      <c r="H5" s="10">
        <f>'Idv CON NOBOA'!H5/0.59</f>
        <v>1.5254237288135592E-2</v>
      </c>
      <c r="I5" s="10">
        <f>'Idv CON NOBOA'!I5/0.59</f>
        <v>6.7796610169491532E-3</v>
      </c>
      <c r="J5" s="10">
        <f>'Idv CON NOBOA'!J5/0.59</f>
        <v>1.3559322033898306E-2</v>
      </c>
      <c r="K5" s="10">
        <f>'Idv CON NOBOA'!K5/0.59</f>
        <v>1.6949152542372883E-3</v>
      </c>
      <c r="L5" s="10">
        <f>'Idv CON NOBOA'!L5/0.59</f>
        <v>3.3898305084745766E-3</v>
      </c>
      <c r="M5" s="10">
        <f>'Idv CON NOBOA'!M5/0.59</f>
        <v>6.1016949152542369E-2</v>
      </c>
      <c r="N5" s="20">
        <f t="shared" ref="N5:N14" si="1">SUM(F5:M5)</f>
        <v>0.14576271186440676</v>
      </c>
      <c r="O5" s="20">
        <f t="shared" si="0"/>
        <v>1.5169491525423728</v>
      </c>
    </row>
    <row r="6" spans="1:16" x14ac:dyDescent="0.3">
      <c r="A6" s="2" t="s">
        <v>45</v>
      </c>
      <c r="B6" s="10">
        <f>'Idv CON NOBOA'!B6/0.7692</f>
        <v>0.20800832033281333</v>
      </c>
      <c r="C6" s="10">
        <f>'Idv CON NOBOA'!C6/0.7692</f>
        <v>0.19500780031201248</v>
      </c>
      <c r="D6" s="10">
        <f>'Idv CON NOBOA'!D6/0.7692</f>
        <v>7.8003120124804995E-2</v>
      </c>
      <c r="E6" s="10">
        <f>'Idv CON NOBOA'!G6/0.7692</f>
        <v>9.100364014560583E-2</v>
      </c>
      <c r="F6" s="10">
        <f>'Idv CON NOBOA'!E6/0.7692</f>
        <v>1.3000520020800833E-2</v>
      </c>
      <c r="G6" s="10">
        <f>'Idv CON NOBOA'!F6/0.7692</f>
        <v>1.3000520020800833E-2</v>
      </c>
      <c r="H6" s="10">
        <f>'Idv CON NOBOA'!H6/0.7692</f>
        <v>3.9001560062402497E-2</v>
      </c>
      <c r="I6" s="10">
        <f>'Idv CON NOBOA'!I6/0.7692</f>
        <v>1.3000520020800833E-2</v>
      </c>
      <c r="J6" s="10">
        <f>'Idv CON NOBOA'!J6/0.7692</f>
        <v>2.6001040041601666E-2</v>
      </c>
      <c r="K6" s="10">
        <f>'Idv CON NOBOA'!K6/0.7692</f>
        <v>1.3000520020800833E-2</v>
      </c>
      <c r="L6" s="10">
        <f>'Idv CON NOBOA'!L6/0.7692</f>
        <v>1.3000520020800833E-2</v>
      </c>
      <c r="M6" s="10">
        <f>'Idv CON NOBOA'!M6/0.7692</f>
        <v>6.500260010400416E-2</v>
      </c>
      <c r="N6" s="20">
        <f t="shared" si="1"/>
        <v>0.19500780031201248</v>
      </c>
      <c r="O6" s="20">
        <f t="shared" si="0"/>
        <v>0.76703068122724938</v>
      </c>
    </row>
    <row r="7" spans="1:16" x14ac:dyDescent="0.3">
      <c r="A7" s="2" t="s">
        <v>39</v>
      </c>
      <c r="B7" s="10">
        <f>'Idv CON NOBOA'!B7/0.6872</f>
        <v>0.32246798603026772</v>
      </c>
      <c r="C7" s="10">
        <f>'Idv CON NOBOA'!C7/0.6872</f>
        <v>0.16574505238649592</v>
      </c>
      <c r="D7" s="10">
        <f>'Idv CON NOBOA'!D7/0.6872</f>
        <v>0.10142607683352735</v>
      </c>
      <c r="E7" s="10">
        <f>'Idv CON NOBOA'!G7/0.6872</f>
        <v>0.41909196740395804</v>
      </c>
      <c r="F7" s="10">
        <f>'Idv CON NOBOA'!E7/0.6872</f>
        <v>1.0040745052386495E-2</v>
      </c>
      <c r="G7" s="10">
        <f>'Idv CON NOBOA'!F7/0.6872</f>
        <v>1.0913853317811409E-2</v>
      </c>
      <c r="H7" s="10">
        <f>'Idv CON NOBOA'!H7/0.6872</f>
        <v>4.2782305005820719E-2</v>
      </c>
      <c r="I7" s="10">
        <f>'Idv CON NOBOA'!I7/0.6872</f>
        <v>9.1676367869615825E-3</v>
      </c>
      <c r="J7" s="10">
        <f>'Idv CON NOBOA'!J7/0.6872</f>
        <v>2.5465657741559955E-2</v>
      </c>
      <c r="K7" s="10">
        <f>'Idv CON NOBOA'!K7/0.6872</f>
        <v>0</v>
      </c>
      <c r="L7" s="10">
        <f>'Idv CON NOBOA'!L7/0.6872</f>
        <v>5.6752037252619323E-3</v>
      </c>
      <c r="M7" s="10">
        <f>'Idv CON NOBOA'!M7/0.6872</f>
        <v>6.5483119906868444E-3</v>
      </c>
      <c r="N7" s="20">
        <f t="shared" si="1"/>
        <v>0.11059371362048893</v>
      </c>
      <c r="O7" s="20">
        <f t="shared" si="0"/>
        <v>1.1193247962747379</v>
      </c>
    </row>
    <row r="8" spans="1:16" x14ac:dyDescent="0.3">
      <c r="A8" s="2" t="s">
        <v>37</v>
      </c>
      <c r="B8" s="3">
        <f>B18/89.5%</f>
        <v>0.38435754189944132</v>
      </c>
      <c r="C8" s="3">
        <f t="shared" ref="C8:D8" si="2">C18/89.5%</f>
        <v>0.29832402234636873</v>
      </c>
      <c r="D8" s="3">
        <f t="shared" si="2"/>
        <v>9.1620111731843576E-2</v>
      </c>
      <c r="E8" s="3">
        <f>H18/89.5%</f>
        <v>0.12960893854748604</v>
      </c>
      <c r="F8" s="3">
        <f>F18/89.5%</f>
        <v>1.11731843575419E-2</v>
      </c>
      <c r="G8" s="3">
        <f>G18/89.5%</f>
        <v>1.7877094972067038E-2</v>
      </c>
      <c r="H8" s="3">
        <f t="shared" ref="H8:M8" si="3">I18/89.5%</f>
        <v>1.0055865921787709E-2</v>
      </c>
      <c r="I8" s="3">
        <f t="shared" si="3"/>
        <v>4.4692737430167594E-3</v>
      </c>
      <c r="J8" s="3">
        <f t="shared" si="3"/>
        <v>8.9385474860335188E-3</v>
      </c>
      <c r="K8" s="3">
        <f t="shared" si="3"/>
        <v>1.1173184357541898E-3</v>
      </c>
      <c r="L8" s="3">
        <f t="shared" si="3"/>
        <v>2.2346368715083797E-3</v>
      </c>
      <c r="M8" s="3">
        <f t="shared" si="3"/>
        <v>4.0223463687150837E-2</v>
      </c>
      <c r="N8" s="20">
        <f t="shared" si="1"/>
        <v>9.6089385474860331E-2</v>
      </c>
      <c r="O8" s="20">
        <f t="shared" si="0"/>
        <v>1</v>
      </c>
    </row>
    <row r="9" spans="1:16" x14ac:dyDescent="0.3">
      <c r="A9" s="2" t="s">
        <v>35</v>
      </c>
      <c r="B9" s="3">
        <f>B20/91.8%</f>
        <v>0.22657952069716777</v>
      </c>
      <c r="C9" s="3">
        <f t="shared" ref="C9:D9" si="4">C20/91.8%</f>
        <v>0.21786492374727673</v>
      </c>
      <c r="D9" s="3">
        <f t="shared" si="4"/>
        <v>9.9128540305010893E-2</v>
      </c>
      <c r="E9" s="3">
        <f>H20/91.8%</f>
        <v>0.2581699346405229</v>
      </c>
      <c r="F9" s="3">
        <f>F20/91.8%</f>
        <v>4.4662309368191724E-2</v>
      </c>
      <c r="G9" s="3"/>
      <c r="H9" s="3"/>
      <c r="I9" s="3"/>
      <c r="J9" s="3">
        <f>K20/91.8%</f>
        <v>4.793028322440087E-2</v>
      </c>
      <c r="K9" s="3">
        <f>L20/91.8%</f>
        <v>3.4858387799564274E-2</v>
      </c>
      <c r="L9" s="3">
        <f>M20/91.8%</f>
        <v>0</v>
      </c>
      <c r="M9" s="3">
        <f>N20/91.8%</f>
        <v>7.0806100217864931E-2</v>
      </c>
      <c r="N9" s="20">
        <f t="shared" si="1"/>
        <v>0.19825708061002179</v>
      </c>
      <c r="O9" s="20">
        <f t="shared" si="0"/>
        <v>1</v>
      </c>
    </row>
    <row r="10" spans="1:16" x14ac:dyDescent="0.3">
      <c r="A10" s="2" t="s">
        <v>34</v>
      </c>
      <c r="B10" s="3">
        <f>B21/78.3%</f>
        <v>0.29757343550447002</v>
      </c>
      <c r="C10" s="3">
        <f t="shared" ref="C10:D10" si="5">C21/78.3%</f>
        <v>0.17752234993614308</v>
      </c>
      <c r="D10" s="3">
        <f t="shared" si="5"/>
        <v>0.16347381864623245</v>
      </c>
      <c r="E10" s="3">
        <f>H21/78.3%</f>
        <v>0.13793103448275865</v>
      </c>
      <c r="F10" s="3">
        <f>F21/78.3%</f>
        <v>1.6602809706257982E-2</v>
      </c>
      <c r="G10" s="3">
        <f>G21/78.3%</f>
        <v>3.8314176245210732E-2</v>
      </c>
      <c r="H10" s="3">
        <f t="shared" ref="H10:M10" si="6">I21/78.3%</f>
        <v>3.3205619412515965E-2</v>
      </c>
      <c r="I10" s="3">
        <f t="shared" si="6"/>
        <v>1.5325670498084294E-2</v>
      </c>
      <c r="J10" s="3">
        <f t="shared" si="6"/>
        <v>3.0651340996168588E-2</v>
      </c>
      <c r="K10" s="3">
        <f t="shared" si="6"/>
        <v>1.5325670498084294E-2</v>
      </c>
      <c r="L10" s="3">
        <f t="shared" si="6"/>
        <v>8.9399744572158379E-3</v>
      </c>
      <c r="M10" s="3">
        <f t="shared" si="6"/>
        <v>6.6411238825031929E-2</v>
      </c>
      <c r="N10" s="20">
        <f t="shared" si="1"/>
        <v>0.22477650063856958</v>
      </c>
      <c r="O10" s="20">
        <f t="shared" si="0"/>
        <v>1.0012771392081738</v>
      </c>
    </row>
    <row r="11" spans="1:16" x14ac:dyDescent="0.3">
      <c r="A11" s="2" t="s">
        <v>33</v>
      </c>
      <c r="B11" s="3">
        <f>B22/76.6%</f>
        <v>0.36553524804177556</v>
      </c>
      <c r="C11" s="3">
        <f t="shared" ref="C11:D11" si="7">C22/76.6%</f>
        <v>0.13577023498694518</v>
      </c>
      <c r="D11" s="3">
        <f t="shared" si="7"/>
        <v>0.21148825065274154</v>
      </c>
      <c r="E11" s="3">
        <f>H22/76.6%</f>
        <v>0.22845953002610966</v>
      </c>
      <c r="F11" s="3"/>
      <c r="G11" s="3">
        <f>G22/76.6%</f>
        <v>1.1749347258485641E-2</v>
      </c>
      <c r="H11" s="3">
        <f t="shared" ref="H11:M11" si="8">I22/76.6%</f>
        <v>1.0443864229765015E-2</v>
      </c>
      <c r="I11" s="3">
        <f t="shared" si="8"/>
        <v>9.138381201044387E-3</v>
      </c>
      <c r="J11" s="3">
        <f t="shared" si="8"/>
        <v>1.4360313315926894E-2</v>
      </c>
      <c r="K11" s="3">
        <f t="shared" si="8"/>
        <v>0</v>
      </c>
      <c r="L11" s="3">
        <f t="shared" si="8"/>
        <v>0</v>
      </c>
      <c r="M11" s="3">
        <f t="shared" si="8"/>
        <v>1.3054830287206269E-2</v>
      </c>
      <c r="N11" s="20">
        <f t="shared" si="1"/>
        <v>5.8746736292428207E-2</v>
      </c>
      <c r="O11" s="20">
        <f t="shared" si="0"/>
        <v>1.0000000000000002</v>
      </c>
    </row>
    <row r="12" spans="1:16" x14ac:dyDescent="0.3">
      <c r="A12" s="2" t="s">
        <v>31</v>
      </c>
      <c r="B12" s="3">
        <f>B23/83.7%</f>
        <v>0.28172043010752684</v>
      </c>
      <c r="C12" s="3">
        <f t="shared" ref="C12:D12" si="9">C23/83.7%</f>
        <v>0.1062126642771804</v>
      </c>
      <c r="D12" s="3">
        <f t="shared" si="9"/>
        <v>7.323775388291516E-2</v>
      </c>
      <c r="E12" s="3">
        <f>H23/83.7%</f>
        <v>0.3801672640382317</v>
      </c>
      <c r="F12" s="3">
        <f>F23/83.7%</f>
        <v>2.1505376344086016E-2</v>
      </c>
      <c r="G12" s="3">
        <f>G23/83.7%</f>
        <v>2.9629629629629627E-2</v>
      </c>
      <c r="H12" s="3">
        <f t="shared" ref="H12:M12" si="10">I23/83.7%</f>
        <v>1.6845878136200716E-2</v>
      </c>
      <c r="I12" s="3">
        <f t="shared" si="10"/>
        <v>1.0752688172043008E-2</v>
      </c>
      <c r="J12" s="3">
        <f t="shared" si="10"/>
        <v>2.8195937873357224E-2</v>
      </c>
      <c r="K12" s="3">
        <f t="shared" si="10"/>
        <v>0</v>
      </c>
      <c r="L12" s="3">
        <f t="shared" si="10"/>
        <v>1.5531660692951013E-2</v>
      </c>
      <c r="M12" s="3">
        <f t="shared" si="10"/>
        <v>3.6678614097968937E-2</v>
      </c>
      <c r="N12" s="20">
        <f t="shared" si="1"/>
        <v>0.15913978494623654</v>
      </c>
      <c r="O12" s="20">
        <f t="shared" si="0"/>
        <v>1.0004778972520907</v>
      </c>
    </row>
    <row r="13" spans="1:16" x14ac:dyDescent="0.3">
      <c r="A13" s="2" t="s">
        <v>38</v>
      </c>
      <c r="B13" s="3">
        <f>B24/67%</f>
        <v>0.29850746268656714</v>
      </c>
      <c r="C13" s="3">
        <f t="shared" ref="C13:D13" si="11">C24/67%</f>
        <v>0.2537313432835821</v>
      </c>
      <c r="D13" s="3">
        <f t="shared" si="11"/>
        <v>0.17910447761194029</v>
      </c>
      <c r="E13" s="3">
        <f>H24/67%</f>
        <v>0.17910447761194029</v>
      </c>
      <c r="F13" s="3">
        <f>F24/67%</f>
        <v>2.9850746268656716E-2</v>
      </c>
      <c r="G13" s="3">
        <f>G24/67%</f>
        <v>0</v>
      </c>
      <c r="H13" s="3">
        <f t="shared" ref="H13:M13" si="12">I24/67%</f>
        <v>1.4925373134328358E-2</v>
      </c>
      <c r="I13" s="3">
        <f t="shared" si="12"/>
        <v>0</v>
      </c>
      <c r="J13" s="3">
        <f t="shared" si="12"/>
        <v>1.4925373134328358E-2</v>
      </c>
      <c r="K13" s="3">
        <f t="shared" si="12"/>
        <v>0</v>
      </c>
      <c r="L13" s="3">
        <f t="shared" si="12"/>
        <v>0</v>
      </c>
      <c r="M13" s="3">
        <f t="shared" si="12"/>
        <v>2.9850746268656716E-2</v>
      </c>
      <c r="N13" s="20">
        <f t="shared" si="1"/>
        <v>8.9552238805970144E-2</v>
      </c>
      <c r="O13" s="20">
        <f t="shared" si="0"/>
        <v>1</v>
      </c>
    </row>
    <row r="14" spans="1:16" x14ac:dyDescent="0.3">
      <c r="A14" s="2" t="s">
        <v>27</v>
      </c>
      <c r="B14" s="3">
        <f>B25/44.5%</f>
        <v>0.24943820224719102</v>
      </c>
      <c r="C14" s="3">
        <f t="shared" ref="C14:D14" si="13">C25/44.5%</f>
        <v>0.40674157303370784</v>
      </c>
      <c r="D14" s="3">
        <f t="shared" si="13"/>
        <v>0.1393258426966292</v>
      </c>
      <c r="E14" s="3">
        <f>H25/44.5%</f>
        <v>0.16404494382022472</v>
      </c>
      <c r="F14" s="3">
        <f>F25/44.5%</f>
        <v>8.988764044943821E-3</v>
      </c>
      <c r="G14" s="3">
        <f>G25/44.5%</f>
        <v>4.4943820224719105E-3</v>
      </c>
      <c r="H14" s="3">
        <f t="shared" ref="H14:M14" si="14">I25/44.5%</f>
        <v>6.7415730337078653E-3</v>
      </c>
      <c r="I14" s="3">
        <f t="shared" si="14"/>
        <v>2.2471910112359553E-3</v>
      </c>
      <c r="J14" s="3">
        <f t="shared" si="14"/>
        <v>1.1235955056179775E-2</v>
      </c>
      <c r="K14" s="3">
        <f t="shared" si="14"/>
        <v>2.2471910112359553E-3</v>
      </c>
      <c r="L14" s="3">
        <f t="shared" si="14"/>
        <v>4.4943820224719105E-3</v>
      </c>
      <c r="M14" s="3">
        <f t="shared" si="14"/>
        <v>0</v>
      </c>
      <c r="N14" s="20">
        <f t="shared" si="1"/>
        <v>4.0449438202247189E-2</v>
      </c>
      <c r="O14" s="20">
        <f t="shared" si="0"/>
        <v>0.99999999999999989</v>
      </c>
    </row>
    <row r="15" spans="1:16" x14ac:dyDescent="0.3">
      <c r="A15" s="8" t="s">
        <v>28</v>
      </c>
      <c r="B15" s="9">
        <f>AVERAGE(B4:B14)</f>
        <v>0.3196817661981548</v>
      </c>
      <c r="C15" s="9">
        <f t="shared" ref="C15:D15" si="15">AVERAGE(C4:C14)</f>
        <v>0.24162523192156235</v>
      </c>
      <c r="D15" s="9">
        <f t="shared" si="15"/>
        <v>0.12745869687506911</v>
      </c>
      <c r="E15" s="9">
        <f t="shared" ref="E15:M15" si="16">AVERAGE(E4:E14)</f>
        <v>0.2215543037551953</v>
      </c>
      <c r="F15" s="9">
        <f t="shared" si="16"/>
        <v>1.8201819301955427E-2</v>
      </c>
      <c r="G15" s="9">
        <f t="shared" si="16"/>
        <v>1.6088951229919719E-2</v>
      </c>
      <c r="H15" s="9">
        <f t="shared" si="16"/>
        <v>2.081416433667669E-2</v>
      </c>
      <c r="I15" s="9">
        <f t="shared" si="16"/>
        <v>7.352233253994052E-3</v>
      </c>
      <c r="J15" s="9">
        <f t="shared" si="16"/>
        <v>2.0871263426030857E-2</v>
      </c>
      <c r="K15" s="9">
        <f t="shared" si="16"/>
        <v>6.9843873465037813E-3</v>
      </c>
      <c r="L15" s="9">
        <f t="shared" si="16"/>
        <v>4.9384302122369361E-3</v>
      </c>
      <c r="M15" s="9">
        <f t="shared" si="16"/>
        <v>3.6930282563352873E-2</v>
      </c>
      <c r="P15" s="1"/>
    </row>
    <row r="16" spans="1:16" x14ac:dyDescent="0.3">
      <c r="P16" s="1"/>
    </row>
    <row r="17" spans="1:17" x14ac:dyDescent="0.3">
      <c r="A17" s="5"/>
      <c r="B17" s="6"/>
      <c r="C17" s="6"/>
      <c r="D17" s="6"/>
      <c r="E17" s="6"/>
      <c r="F17" s="6"/>
      <c r="G17" s="6"/>
      <c r="H17" s="6"/>
      <c r="I17" s="6"/>
      <c r="J17" s="1"/>
      <c r="K17" s="1"/>
      <c r="L17" s="1"/>
      <c r="M17" s="1"/>
      <c r="N17" s="1"/>
      <c r="O17" s="1"/>
      <c r="P17" s="1"/>
    </row>
    <row r="18" spans="1:17" hidden="1" x14ac:dyDescent="0.3">
      <c r="A18" s="5" t="s">
        <v>37</v>
      </c>
      <c r="B18" s="6">
        <v>0.34399999999999997</v>
      </c>
      <c r="C18" s="6">
        <v>0.26700000000000002</v>
      </c>
      <c r="D18" s="6">
        <v>8.2000000000000003E-2</v>
      </c>
      <c r="E18" s="6"/>
      <c r="F18" s="6">
        <v>0.01</v>
      </c>
      <c r="G18" s="6">
        <v>1.6E-2</v>
      </c>
      <c r="H18" s="6">
        <v>0.11600000000000001</v>
      </c>
      <c r="I18" s="6">
        <v>8.9999999999999993E-3</v>
      </c>
      <c r="J18" s="6">
        <v>4.0000000000000001E-3</v>
      </c>
      <c r="K18" s="6">
        <v>8.0000000000000002E-3</v>
      </c>
      <c r="L18" s="6">
        <v>1E-3</v>
      </c>
      <c r="M18" s="6">
        <v>2E-3</v>
      </c>
      <c r="N18" s="6">
        <v>3.5999999999999997E-2</v>
      </c>
      <c r="O18" s="31">
        <v>3.5000000000000003E-2</v>
      </c>
      <c r="P18" s="31"/>
      <c r="Q18" s="6">
        <v>7.0000000000000007E-2</v>
      </c>
    </row>
    <row r="19" spans="1:17" hidden="1" x14ac:dyDescent="0.3">
      <c r="A19" s="5" t="s">
        <v>36</v>
      </c>
      <c r="B19" s="6">
        <v>0.223</v>
      </c>
      <c r="C19" s="6">
        <v>0.20200000000000001</v>
      </c>
      <c r="D19" s="6">
        <v>0.17399999999999999</v>
      </c>
      <c r="E19" s="6"/>
      <c r="F19" s="6">
        <v>2.7E-2</v>
      </c>
      <c r="G19" s="6"/>
      <c r="H19" s="6"/>
      <c r="I19" s="6">
        <v>2.1000000000000001E-2</v>
      </c>
      <c r="J19" s="6">
        <v>2.5000000000000001E-2</v>
      </c>
      <c r="K19" s="6">
        <v>4.2999999999999997E-2</v>
      </c>
      <c r="L19" s="6">
        <v>1.2E-2</v>
      </c>
      <c r="M19" s="6"/>
      <c r="N19" s="6">
        <v>9.8000000000000004E-2</v>
      </c>
      <c r="O19" s="6"/>
      <c r="P19" s="6">
        <v>8.8999999999999996E-2</v>
      </c>
      <c r="Q19" s="6">
        <v>8.5999999999999993E-2</v>
      </c>
    </row>
    <row r="20" spans="1:17" hidden="1" x14ac:dyDescent="0.3">
      <c r="A20" s="5" t="s">
        <v>35</v>
      </c>
      <c r="B20" s="6">
        <v>0.20799999999999999</v>
      </c>
      <c r="C20" s="6">
        <v>0.2</v>
      </c>
      <c r="D20" s="6">
        <v>9.0999999999999998E-2</v>
      </c>
      <c r="E20" s="6"/>
      <c r="F20" s="6">
        <v>4.1000000000000002E-2</v>
      </c>
      <c r="G20" s="6"/>
      <c r="H20" s="6">
        <v>0.23699999999999999</v>
      </c>
      <c r="I20" s="6"/>
      <c r="J20" s="6"/>
      <c r="K20" s="6">
        <v>4.3999999999999997E-2</v>
      </c>
      <c r="L20" s="6">
        <v>3.2000000000000001E-2</v>
      </c>
      <c r="M20" s="6"/>
      <c r="N20" s="6">
        <v>6.5000000000000002E-2</v>
      </c>
      <c r="O20" s="31">
        <v>8.2000000000000003E-2</v>
      </c>
      <c r="P20" s="31"/>
      <c r="Q20" s="6"/>
    </row>
    <row r="21" spans="1:17" hidden="1" x14ac:dyDescent="0.3">
      <c r="A21" s="5" t="s">
        <v>34</v>
      </c>
      <c r="B21" s="6">
        <v>0.23300000000000001</v>
      </c>
      <c r="C21" s="6">
        <v>0.13900000000000001</v>
      </c>
      <c r="D21" s="6">
        <v>0.128</v>
      </c>
      <c r="E21" s="6"/>
      <c r="F21" s="6">
        <v>1.2999999999999999E-2</v>
      </c>
      <c r="G21" s="6">
        <v>0.03</v>
      </c>
      <c r="H21" s="6">
        <v>0.108</v>
      </c>
      <c r="I21" s="6">
        <v>2.5999999999999999E-2</v>
      </c>
      <c r="J21" s="6">
        <v>1.2E-2</v>
      </c>
      <c r="K21" s="6">
        <v>2.4E-2</v>
      </c>
      <c r="L21" s="6">
        <v>1.2E-2</v>
      </c>
      <c r="M21" s="6">
        <v>7.0000000000000001E-3</v>
      </c>
      <c r="N21" s="6">
        <v>5.1999999999999998E-2</v>
      </c>
      <c r="O21" s="6">
        <v>1.7999999999999999E-2</v>
      </c>
      <c r="P21" s="6">
        <v>6.8000000000000005E-2</v>
      </c>
      <c r="Q21" s="6">
        <v>0.13100000000000001</v>
      </c>
    </row>
    <row r="22" spans="1:17" hidden="1" x14ac:dyDescent="0.3">
      <c r="A22" s="5" t="s">
        <v>33</v>
      </c>
      <c r="B22" s="6">
        <v>0.28000000000000003</v>
      </c>
      <c r="C22" s="6">
        <v>0.104</v>
      </c>
      <c r="D22" s="6">
        <v>0.16200000000000001</v>
      </c>
      <c r="E22" s="6"/>
      <c r="F22" s="6"/>
      <c r="G22" s="6">
        <v>8.9999999999999993E-3</v>
      </c>
      <c r="H22" s="6">
        <v>0.17499999999999999</v>
      </c>
      <c r="I22" s="6">
        <v>8.0000000000000002E-3</v>
      </c>
      <c r="J22" s="6">
        <v>7.0000000000000001E-3</v>
      </c>
      <c r="K22" s="6">
        <v>1.0999999999999999E-2</v>
      </c>
      <c r="L22" s="6"/>
      <c r="M22" s="6"/>
      <c r="N22" s="6">
        <v>0.01</v>
      </c>
      <c r="O22" s="31">
        <v>0.10299999999999999</v>
      </c>
      <c r="P22" s="31"/>
      <c r="Q22" s="6">
        <v>0.13100000000000001</v>
      </c>
    </row>
    <row r="23" spans="1:17" hidden="1" x14ac:dyDescent="0.3">
      <c r="A23" s="6" t="s">
        <v>31</v>
      </c>
      <c r="B23" s="6">
        <v>0.23580000000000001</v>
      </c>
      <c r="C23" s="6">
        <v>8.8900000000000007E-2</v>
      </c>
      <c r="D23" s="6">
        <v>6.13E-2</v>
      </c>
      <c r="E23" s="6"/>
      <c r="F23" s="6">
        <v>1.7999999999999999E-2</v>
      </c>
      <c r="G23" s="6">
        <v>2.4799999999999999E-2</v>
      </c>
      <c r="H23" s="6">
        <v>0.31819999999999998</v>
      </c>
      <c r="I23" s="6">
        <v>1.41E-2</v>
      </c>
      <c r="J23" s="6">
        <v>8.9999999999999993E-3</v>
      </c>
      <c r="K23" s="6">
        <v>2.3599999999999999E-2</v>
      </c>
      <c r="L23" s="6"/>
      <c r="M23" s="6">
        <v>1.2999999999999999E-2</v>
      </c>
      <c r="N23" s="6">
        <v>3.0700000000000002E-2</v>
      </c>
      <c r="O23" s="6">
        <v>5.9799999999999999E-2</v>
      </c>
      <c r="P23" s="31">
        <v>0.1027</v>
      </c>
      <c r="Q23" s="31"/>
    </row>
    <row r="24" spans="1:17" hidden="1" x14ac:dyDescent="0.3">
      <c r="A24" s="5" t="s">
        <v>38</v>
      </c>
      <c r="B24" s="6">
        <v>0.2</v>
      </c>
      <c r="C24" s="6">
        <v>0.17</v>
      </c>
      <c r="D24" s="6">
        <v>0.12</v>
      </c>
      <c r="E24" s="6"/>
      <c r="F24" s="6">
        <v>0.02</v>
      </c>
      <c r="G24" s="6"/>
      <c r="H24" s="6">
        <v>0.12</v>
      </c>
      <c r="I24" s="6">
        <v>0.01</v>
      </c>
      <c r="J24" s="6"/>
      <c r="K24" s="6">
        <v>0.01</v>
      </c>
      <c r="L24" s="6"/>
      <c r="M24" s="6"/>
      <c r="N24" s="6">
        <v>0.02</v>
      </c>
      <c r="O24" s="6"/>
      <c r="P24" s="15">
        <v>0.27</v>
      </c>
      <c r="Q24" s="15">
        <v>0.06</v>
      </c>
    </row>
    <row r="25" spans="1:17" hidden="1" x14ac:dyDescent="0.3">
      <c r="A25" s="5" t="s">
        <v>27</v>
      </c>
      <c r="B25" s="6">
        <v>0.111</v>
      </c>
      <c r="C25" s="6">
        <v>0.18099999999999999</v>
      </c>
      <c r="D25" s="6">
        <v>6.2E-2</v>
      </c>
      <c r="E25" s="6"/>
      <c r="F25" s="6">
        <v>4.0000000000000001E-3</v>
      </c>
      <c r="G25" s="6">
        <v>2E-3</v>
      </c>
      <c r="H25" s="6">
        <v>7.2999999999999995E-2</v>
      </c>
      <c r="I25" s="6">
        <v>3.0000000000000001E-3</v>
      </c>
      <c r="J25" s="6">
        <v>1E-3</v>
      </c>
      <c r="K25" s="6">
        <v>5.0000000000000001E-3</v>
      </c>
      <c r="L25" s="6">
        <v>1E-3</v>
      </c>
      <c r="M25" s="6">
        <v>2E-3</v>
      </c>
      <c r="N25" s="6"/>
      <c r="O25" s="6">
        <v>3.4000000000000002E-2</v>
      </c>
      <c r="P25" s="6">
        <v>0.28599999999999998</v>
      </c>
      <c r="Q25" s="6">
        <v>0.23499999999999999</v>
      </c>
    </row>
    <row r="26" spans="1:17" hidden="1" x14ac:dyDescent="0.3">
      <c r="A26" t="s">
        <v>24</v>
      </c>
      <c r="B26" s="6">
        <v>0.23</v>
      </c>
      <c r="C26" s="6">
        <v>0.2</v>
      </c>
      <c r="D26" s="6">
        <v>0.129</v>
      </c>
      <c r="E26" s="6"/>
      <c r="F26" s="6">
        <v>8.0000000000000002E-3</v>
      </c>
      <c r="G26" s="6">
        <v>2.5999999999999999E-2</v>
      </c>
      <c r="H26" s="6"/>
      <c r="I26" s="6">
        <v>3.9E-2</v>
      </c>
      <c r="J26" s="6">
        <v>1.7000000000000001E-2</v>
      </c>
      <c r="K26" s="6">
        <v>2.4E-2</v>
      </c>
      <c r="L26" s="6">
        <v>0.01</v>
      </c>
      <c r="M26" s="6">
        <v>7.0000000000000001E-3</v>
      </c>
      <c r="N26" s="6">
        <v>2.1999999999999999E-2</v>
      </c>
      <c r="O26" s="6">
        <v>3.5000000000000003E-2</v>
      </c>
      <c r="P26" s="6">
        <v>0.112</v>
      </c>
      <c r="Q26" s="6">
        <v>0.13900000000000001</v>
      </c>
    </row>
    <row r="27" spans="1:17" hidden="1" x14ac:dyDescent="0.3">
      <c r="A27" s="5" t="s">
        <v>32</v>
      </c>
      <c r="B27" s="6">
        <v>0.216</v>
      </c>
      <c r="C27" s="6">
        <v>0.17</v>
      </c>
      <c r="D27" s="6">
        <v>0.13500000000000001</v>
      </c>
      <c r="E27" s="6"/>
      <c r="F27" s="6">
        <v>1.6E-2</v>
      </c>
      <c r="G27" s="6">
        <v>3.0000000000000001E-3</v>
      </c>
      <c r="H27" s="6"/>
      <c r="I27" s="6">
        <v>1.2E-2</v>
      </c>
      <c r="J27" s="6">
        <v>4.0000000000000001E-3</v>
      </c>
      <c r="K27" s="6">
        <v>4.0000000000000001E-3</v>
      </c>
      <c r="L27" s="6">
        <v>1.7000000000000001E-2</v>
      </c>
      <c r="M27" s="6">
        <v>2E-3</v>
      </c>
      <c r="N27" s="6">
        <v>2E-3</v>
      </c>
      <c r="O27" s="6">
        <v>0.151</v>
      </c>
      <c r="P27" s="6">
        <v>0.26600000000000001</v>
      </c>
      <c r="Q27" s="6">
        <v>1E-3</v>
      </c>
    </row>
    <row r="28" spans="1:17" hidden="1" x14ac:dyDescent="0.3">
      <c r="A28" t="s">
        <v>25</v>
      </c>
      <c r="B28" s="1">
        <v>0.35399999999999998</v>
      </c>
      <c r="C28" s="1">
        <v>0.29599999999999999</v>
      </c>
      <c r="D28" s="1">
        <v>9.4E-2</v>
      </c>
      <c r="E28" s="1"/>
      <c r="F28" s="1"/>
      <c r="G28" s="1"/>
      <c r="H28" s="1"/>
      <c r="I28" s="1"/>
      <c r="J28" s="1"/>
      <c r="K28" s="1"/>
      <c r="L28" s="1"/>
      <c r="M28" s="1"/>
      <c r="N28" s="30">
        <v>0.25600000000000001</v>
      </c>
      <c r="O28" s="30"/>
      <c r="P28" s="30"/>
      <c r="Q28" s="30"/>
    </row>
    <row r="29" spans="1:17" hidden="1" x14ac:dyDescent="0.3">
      <c r="A29" s="1" t="s">
        <v>29</v>
      </c>
      <c r="B29" s="1">
        <v>0.193</v>
      </c>
      <c r="C29" s="1">
        <v>0.17699999999999999</v>
      </c>
      <c r="D29" s="1">
        <v>0.184</v>
      </c>
      <c r="E29" s="1"/>
      <c r="F29" s="1"/>
      <c r="G29" s="1">
        <v>3.2000000000000001E-2</v>
      </c>
      <c r="H29" s="1"/>
      <c r="I29" s="1">
        <v>1.7000000000000001E-2</v>
      </c>
      <c r="J29" s="1"/>
      <c r="K29" s="1">
        <v>1.6E-2</v>
      </c>
      <c r="L29" s="1"/>
      <c r="M29" s="1"/>
      <c r="N29" s="1">
        <v>5.0999999999999997E-2</v>
      </c>
      <c r="O29" s="1"/>
      <c r="P29" s="1">
        <v>0.16400000000000001</v>
      </c>
      <c r="Q29" s="1">
        <v>0.16600000000000001</v>
      </c>
    </row>
    <row r="30" spans="1:17" hidden="1" x14ac:dyDescent="0.3">
      <c r="A30" t="s">
        <v>23</v>
      </c>
      <c r="B30" s="1">
        <v>0.19700000000000001</v>
      </c>
      <c r="C30" s="1">
        <v>0.26100000000000001</v>
      </c>
      <c r="D30" s="1">
        <v>0.13100000000000001</v>
      </c>
      <c r="E30" s="1"/>
      <c r="F30" s="1">
        <v>0.01</v>
      </c>
      <c r="G30" s="1">
        <v>0.01</v>
      </c>
      <c r="H30" s="1"/>
      <c r="I30" s="1">
        <v>0.01</v>
      </c>
      <c r="J30" s="1">
        <v>0.01</v>
      </c>
      <c r="K30" s="1">
        <v>0.01</v>
      </c>
      <c r="L30" s="1">
        <v>0.01</v>
      </c>
      <c r="M30" s="1">
        <v>0.01</v>
      </c>
      <c r="N30" s="1"/>
      <c r="O30" s="1">
        <v>8.7999999999999995E-2</v>
      </c>
      <c r="P30" s="1">
        <v>0.249</v>
      </c>
      <c r="Q30" s="1"/>
    </row>
    <row r="31" spans="1:17" hidden="1" x14ac:dyDescent="0.3">
      <c r="A31" t="s">
        <v>17</v>
      </c>
      <c r="B31" s="1">
        <v>0.308</v>
      </c>
      <c r="C31" s="1">
        <v>0.23799999999999999</v>
      </c>
      <c r="D31" s="1">
        <v>8.7999999999999995E-2</v>
      </c>
      <c r="E31" s="1"/>
      <c r="F31" s="1">
        <v>2.8000000000000001E-2</v>
      </c>
      <c r="G31" s="1">
        <v>8.0000000000000002E-3</v>
      </c>
      <c r="H31" s="1"/>
      <c r="I31" s="1">
        <v>2.1999999999999999E-2</v>
      </c>
      <c r="J31" s="1">
        <v>2.1999999999999999E-2</v>
      </c>
      <c r="K31" s="1">
        <v>2.4E-2</v>
      </c>
      <c r="L31" s="1"/>
      <c r="M31" s="1">
        <v>1.0999999999999999E-2</v>
      </c>
      <c r="N31" s="1">
        <v>2.1000000000000001E-2</v>
      </c>
      <c r="O31" s="1"/>
      <c r="P31" s="1"/>
      <c r="Q31" s="1">
        <v>0.23100000000000001</v>
      </c>
    </row>
    <row r="32" spans="1:17" hidden="1" x14ac:dyDescent="0.3">
      <c r="A32" t="s">
        <v>18</v>
      </c>
      <c r="B32" s="1">
        <v>0.249</v>
      </c>
      <c r="C32" s="1">
        <v>0.111</v>
      </c>
      <c r="D32" s="1">
        <v>0.153</v>
      </c>
      <c r="E32" s="1"/>
      <c r="F32" s="1">
        <v>1.0999999999999999E-2</v>
      </c>
      <c r="G32" s="1">
        <v>1.7999999999999999E-2</v>
      </c>
      <c r="H32" s="1"/>
      <c r="I32" s="1">
        <v>0.02</v>
      </c>
      <c r="J32" s="1">
        <v>2E-3</v>
      </c>
      <c r="K32" s="1"/>
      <c r="L32" s="1">
        <v>1.9E-2</v>
      </c>
      <c r="M32" s="1">
        <v>5.0000000000000001E-3</v>
      </c>
      <c r="N32" s="1">
        <v>3.6999999999999998E-2</v>
      </c>
      <c r="O32" s="1">
        <v>6.8000000000000005E-2</v>
      </c>
      <c r="P32" s="1">
        <v>0.21299999999999999</v>
      </c>
      <c r="Q32" s="1">
        <v>9.5000000000000001E-2</v>
      </c>
    </row>
    <row r="33" spans="1:17" hidden="1" x14ac:dyDescent="0.3">
      <c r="A33" t="s">
        <v>14</v>
      </c>
      <c r="B33" s="1">
        <v>0.186</v>
      </c>
      <c r="C33" s="1">
        <v>0.215</v>
      </c>
      <c r="D33" s="1">
        <v>0.107</v>
      </c>
      <c r="E33" s="1"/>
      <c r="F33" s="1">
        <v>1.7000000000000001E-2</v>
      </c>
      <c r="G33" s="1">
        <v>4.5999999999999999E-2</v>
      </c>
      <c r="H33" s="1"/>
      <c r="I33" s="1">
        <v>0.03</v>
      </c>
      <c r="J33" s="1">
        <v>3.9E-2</v>
      </c>
      <c r="K33" s="1">
        <v>1.7000000000000001E-2</v>
      </c>
      <c r="L33" s="1">
        <v>1.7000000000000001E-2</v>
      </c>
      <c r="M33" s="1">
        <v>1.7999999999999999E-2</v>
      </c>
      <c r="N33" s="1">
        <v>6.0000000000000001E-3</v>
      </c>
      <c r="O33" s="1">
        <v>2.1000000000000001E-2</v>
      </c>
      <c r="P33" s="1">
        <v>0.12</v>
      </c>
      <c r="Q33" s="1">
        <v>0.161</v>
      </c>
    </row>
    <row r="34" spans="1:17" hidden="1" x14ac:dyDescent="0.3">
      <c r="A34" t="s">
        <v>15</v>
      </c>
      <c r="B34" s="1">
        <v>0.21049999999999999</v>
      </c>
      <c r="C34" s="1">
        <v>0.19120000000000001</v>
      </c>
      <c r="D34" s="1">
        <v>6.1699999999999998E-2</v>
      </c>
      <c r="E34" s="1"/>
      <c r="F34" s="1">
        <v>6.0199999999999997E-2</v>
      </c>
      <c r="G34" s="1">
        <v>1.7999999999999999E-2</v>
      </c>
      <c r="H34" s="1"/>
      <c r="I34" s="1">
        <v>1.8800000000000001E-2</v>
      </c>
      <c r="J34" s="1">
        <v>4.0599999999999997E-2</v>
      </c>
      <c r="K34" s="1">
        <v>4.3200000000000002E-2</v>
      </c>
      <c r="M34" s="1">
        <v>9.7000000000000003E-3</v>
      </c>
      <c r="N34" s="1">
        <v>2.5000000000000001E-2</v>
      </c>
      <c r="O34" s="1"/>
      <c r="P34" s="1"/>
      <c r="Q34" s="1">
        <v>0.32200000000000001</v>
      </c>
    </row>
    <row r="35" spans="1:17" hidden="1" x14ac:dyDescent="0.3">
      <c r="A35" t="s">
        <v>30</v>
      </c>
      <c r="B35" s="1">
        <v>0.123</v>
      </c>
      <c r="C35" s="1">
        <v>0.16300000000000001</v>
      </c>
      <c r="D35" s="1">
        <v>5.5E-2</v>
      </c>
      <c r="E35" s="1"/>
      <c r="F35" s="1">
        <v>6.0000000000000001E-3</v>
      </c>
      <c r="G35" s="1">
        <v>8.0000000000000002E-3</v>
      </c>
      <c r="H35" s="1"/>
      <c r="I35" s="1">
        <v>7.0000000000000001E-3</v>
      </c>
      <c r="J35" s="1"/>
      <c r="K35" s="1">
        <v>5.0000000000000001E-3</v>
      </c>
      <c r="L35" s="1">
        <v>5.0000000000000001E-3</v>
      </c>
      <c r="M35" s="1">
        <v>5.0000000000000001E-3</v>
      </c>
      <c r="N35" s="1">
        <v>2.7E-2</v>
      </c>
      <c r="O35" s="1">
        <v>6.0000000000000001E-3</v>
      </c>
      <c r="P35" s="1">
        <v>0.27200000000000002</v>
      </c>
      <c r="Q35" s="1">
        <v>0.318</v>
      </c>
    </row>
    <row r="36" spans="1:17" hidden="1" x14ac:dyDescent="0.3">
      <c r="A36" t="s">
        <v>19</v>
      </c>
      <c r="B36" s="1">
        <v>0.45900000000000002</v>
      </c>
      <c r="C36" s="1">
        <v>0.32</v>
      </c>
      <c r="D36" s="1">
        <v>4.2999999999999997E-2</v>
      </c>
      <c r="E36" s="1"/>
      <c r="F36" s="1">
        <v>1.0999999999999999E-2</v>
      </c>
      <c r="G36" s="1">
        <v>2E-3</v>
      </c>
      <c r="H36" s="1"/>
      <c r="I36" s="1">
        <v>3.0000000000000001E-3</v>
      </c>
      <c r="J36" s="1">
        <v>3.0000000000000001E-3</v>
      </c>
      <c r="K36" s="1">
        <v>8.9999999999999993E-3</v>
      </c>
      <c r="L36" s="1">
        <v>2E-3</v>
      </c>
      <c r="M36" s="1">
        <v>8.9999999999999993E-3</v>
      </c>
      <c r="N36" s="1">
        <v>3.2000000000000001E-2</v>
      </c>
      <c r="O36" s="14">
        <v>6.0999999999999999E-2</v>
      </c>
      <c r="P36" s="14"/>
      <c r="Q36" s="1">
        <v>4.4999999999999998E-2</v>
      </c>
    </row>
    <row r="37" spans="1:17" hidden="1" x14ac:dyDescent="0.3">
      <c r="A37" t="s">
        <v>16</v>
      </c>
      <c r="B37" s="1">
        <v>0.22</v>
      </c>
      <c r="C37" s="1">
        <v>0.23100000000000001</v>
      </c>
      <c r="D37" s="1">
        <v>0.20499999999999999</v>
      </c>
      <c r="E37" s="1"/>
      <c r="F37" s="1">
        <v>9.9000000000000005E-2</v>
      </c>
      <c r="G37" s="1"/>
      <c r="H37" s="1"/>
      <c r="I37" s="1"/>
      <c r="J37" s="1"/>
      <c r="K37" s="1">
        <v>6.6000000000000003E-2</v>
      </c>
      <c r="L37" s="1"/>
      <c r="M37" s="1"/>
      <c r="N37" s="1">
        <v>0.107</v>
      </c>
      <c r="O37" s="14">
        <v>7.1999999999999995E-2</v>
      </c>
      <c r="P37" s="14"/>
      <c r="Q37" s="1"/>
    </row>
    <row r="38" spans="1:17" x14ac:dyDescent="0.3">
      <c r="B38" s="1"/>
      <c r="C38" s="1"/>
      <c r="D38" s="1"/>
      <c r="E38" s="1"/>
      <c r="F38" s="1"/>
      <c r="G38" s="1"/>
      <c r="H38" s="1"/>
      <c r="I38" s="1"/>
      <c r="J38" s="1"/>
      <c r="K38" s="1"/>
      <c r="L38" s="1"/>
      <c r="M38" s="1"/>
      <c r="N38" s="1"/>
      <c r="O38" s="1"/>
      <c r="P38" s="1"/>
    </row>
    <row r="39" spans="1:17" x14ac:dyDescent="0.3">
      <c r="B39" s="1"/>
      <c r="C39" s="1"/>
      <c r="D39" s="1"/>
      <c r="E39" s="1"/>
      <c r="F39" s="1"/>
      <c r="G39" s="1"/>
      <c r="H39" s="1"/>
      <c r="I39" s="1"/>
      <c r="J39" s="1"/>
      <c r="K39" s="1"/>
      <c r="L39" s="1"/>
      <c r="M39" s="1"/>
      <c r="N39" s="1"/>
      <c r="O39" s="1"/>
      <c r="P39" s="1"/>
    </row>
    <row r="40" spans="1:17" x14ac:dyDescent="0.3">
      <c r="B40" t="s">
        <v>48</v>
      </c>
      <c r="C40" s="20" t="s">
        <v>47</v>
      </c>
      <c r="D40" s="20" t="s">
        <v>37</v>
      </c>
      <c r="E40" s="20" t="s">
        <v>43</v>
      </c>
      <c r="F40" s="20" t="s">
        <v>45</v>
      </c>
      <c r="G40" s="20" t="s">
        <v>39</v>
      </c>
      <c r="H40" s="20" t="s">
        <v>35</v>
      </c>
      <c r="I40" s="20" t="s">
        <v>34</v>
      </c>
      <c r="J40" s="20" t="s">
        <v>33</v>
      </c>
      <c r="K40" s="20" t="s">
        <v>31</v>
      </c>
      <c r="L40" s="20" t="s">
        <v>38</v>
      </c>
      <c r="M40" s="20" t="s">
        <v>27</v>
      </c>
    </row>
    <row r="41" spans="1:17" x14ac:dyDescent="0.3">
      <c r="A41" t="s">
        <v>0</v>
      </c>
      <c r="B41" s="20">
        <f>AVERAGE(C41:M41)</f>
        <v>0.30039665097274865</v>
      </c>
      <c r="C41" s="20">
        <v>0.29926043317485473</v>
      </c>
      <c r="D41" s="20">
        <v>0.38435754189944132</v>
      </c>
      <c r="E41" s="20">
        <v>0.2711864406779661</v>
      </c>
      <c r="F41" s="20">
        <v>0.28809152366094642</v>
      </c>
      <c r="G41" s="20">
        <v>0.34211292200232829</v>
      </c>
      <c r="H41" s="20">
        <v>0.22657952069716777</v>
      </c>
      <c r="I41" s="20">
        <v>0.29757343550447002</v>
      </c>
      <c r="J41" s="20">
        <v>0.36553524804177556</v>
      </c>
      <c r="K41" s="20">
        <v>0.28172043010752684</v>
      </c>
      <c r="L41" s="20">
        <v>0.29850746268656714</v>
      </c>
      <c r="M41" s="20">
        <v>0.24943820224719102</v>
      </c>
    </row>
    <row r="42" spans="1:17" x14ac:dyDescent="0.3">
      <c r="A42" t="s">
        <v>1</v>
      </c>
      <c r="B42" s="20">
        <f t="shared" ref="B42:B45" si="17">AVERAGE(C42:M42)</f>
        <v>0.22052156482706414</v>
      </c>
      <c r="C42" s="20">
        <v>0.24841521394611726</v>
      </c>
      <c r="D42" s="20">
        <v>0.29832402234636873</v>
      </c>
      <c r="E42" s="20">
        <v>0.25423728813559321</v>
      </c>
      <c r="F42" s="20">
        <v>0.14807592303692149</v>
      </c>
      <c r="G42" s="20">
        <v>0.1788416763678696</v>
      </c>
      <c r="H42" s="20">
        <v>0.21786492374727673</v>
      </c>
      <c r="I42" s="20">
        <v>0.17752234993614308</v>
      </c>
      <c r="J42" s="20">
        <v>0.13577023498694518</v>
      </c>
      <c r="K42" s="20">
        <v>0.1062126642771804</v>
      </c>
      <c r="L42" s="20">
        <v>0.2537313432835821</v>
      </c>
      <c r="M42" s="20">
        <v>0.40674157303370784</v>
      </c>
    </row>
    <row r="43" spans="1:17" x14ac:dyDescent="0.3">
      <c r="A43" t="s">
        <v>2</v>
      </c>
      <c r="B43" s="20">
        <f t="shared" si="17"/>
        <v>0.12907811848818751</v>
      </c>
      <c r="C43" s="20">
        <v>0.12625462229265716</v>
      </c>
      <c r="D43" s="20">
        <v>9.1620111731843576E-2</v>
      </c>
      <c r="E43" s="20">
        <v>0.10169491525423729</v>
      </c>
      <c r="F43" s="20">
        <v>9.06136245449818E-2</v>
      </c>
      <c r="G43" s="20">
        <v>0.14391734575087312</v>
      </c>
      <c r="H43" s="20">
        <v>9.9128540305010893E-2</v>
      </c>
      <c r="I43" s="20">
        <v>0.16347381864623245</v>
      </c>
      <c r="J43" s="20">
        <v>0.21148825065274154</v>
      </c>
      <c r="K43" s="20">
        <v>7.323775388291516E-2</v>
      </c>
      <c r="L43" s="20">
        <v>0.17910447761194029</v>
      </c>
      <c r="M43" s="20">
        <v>0.1393258426966292</v>
      </c>
    </row>
    <row r="44" spans="1:17" x14ac:dyDescent="0.3">
      <c r="A44" t="s">
        <v>26</v>
      </c>
      <c r="B44" s="20">
        <f t="shared" si="17"/>
        <v>0.22446227884860076</v>
      </c>
      <c r="C44" s="20">
        <v>0.25290544109878499</v>
      </c>
      <c r="D44" s="20">
        <v>0.12960893854748604</v>
      </c>
      <c r="E44" s="20">
        <v>0.11864406779661019</v>
      </c>
      <c r="F44" s="20">
        <v>0.37441497659906392</v>
      </c>
      <c r="G44" s="20">
        <v>0.24563445867287542</v>
      </c>
      <c r="H44" s="20">
        <v>0.2581699346405229</v>
      </c>
      <c r="I44" s="20">
        <v>0.13793103448275865</v>
      </c>
      <c r="J44" s="20">
        <v>0.22845953002610966</v>
      </c>
      <c r="K44" s="20">
        <v>0.3801672640382317</v>
      </c>
      <c r="L44" s="20">
        <v>0.17910447761194029</v>
      </c>
      <c r="M44" s="20">
        <v>0.16404494382022472</v>
      </c>
    </row>
    <row r="45" spans="1:17" x14ac:dyDescent="0.3">
      <c r="A45" t="s">
        <v>49</v>
      </c>
      <c r="B45" s="20">
        <f t="shared" si="17"/>
        <v>0.12568770671940138</v>
      </c>
      <c r="C45" s="20">
        <v>7.3164289487585854E-2</v>
      </c>
      <c r="D45" s="20">
        <v>9.6089385474860331E-2</v>
      </c>
      <c r="E45" s="20">
        <v>0.25423728813559326</v>
      </c>
      <c r="F45" s="20">
        <v>9.8803952158086308E-2</v>
      </c>
      <c r="G45" s="20">
        <v>8.9348079161816057E-2</v>
      </c>
      <c r="H45" s="20">
        <v>0.19825708061002179</v>
      </c>
      <c r="I45" s="20">
        <v>0.22477650063856958</v>
      </c>
      <c r="J45" s="20">
        <v>5.8746736292428207E-2</v>
      </c>
      <c r="K45" s="20">
        <v>0.15913978494623654</v>
      </c>
      <c r="L45" s="20">
        <v>8.9552238805970144E-2</v>
      </c>
      <c r="M45" s="20">
        <v>4.0449438202247189E-2</v>
      </c>
    </row>
    <row r="46" spans="1:17" x14ac:dyDescent="0.3">
      <c r="B46" s="20"/>
      <c r="C46" s="20"/>
      <c r="D46" s="20"/>
      <c r="E46" s="20"/>
      <c r="F46" s="20"/>
      <c r="G46" s="20"/>
      <c r="H46" s="20"/>
      <c r="I46" s="20"/>
      <c r="J46" s="20"/>
      <c r="K46" s="20"/>
      <c r="L46" s="20"/>
      <c r="M46" s="20"/>
    </row>
    <row r="47" spans="1:17" x14ac:dyDescent="0.3">
      <c r="B47" s="20"/>
      <c r="C47" s="20"/>
      <c r="D47" s="20"/>
      <c r="E47" s="20"/>
      <c r="F47" s="20"/>
      <c r="G47" s="20"/>
      <c r="H47" s="20"/>
      <c r="I47" s="20"/>
      <c r="J47" s="20"/>
      <c r="K47" s="20"/>
      <c r="L47" s="20"/>
      <c r="M47" s="20"/>
    </row>
    <row r="48" spans="1:17" x14ac:dyDescent="0.3">
      <c r="B48" s="20"/>
      <c r="C48" s="20"/>
      <c r="D48" s="20"/>
      <c r="E48" s="20"/>
      <c r="F48" s="20"/>
      <c r="G48" s="20"/>
      <c r="H48" s="20"/>
      <c r="I48" s="20"/>
      <c r="J48" s="20"/>
      <c r="K48" s="20"/>
      <c r="L48" s="20"/>
      <c r="M48" s="20"/>
    </row>
    <row r="49" spans="2:13" x14ac:dyDescent="0.3">
      <c r="B49" s="20"/>
      <c r="C49" s="20"/>
      <c r="D49" s="20"/>
      <c r="E49" s="20"/>
      <c r="F49" s="20"/>
      <c r="G49" s="20"/>
      <c r="H49" s="20"/>
      <c r="I49" s="20"/>
      <c r="J49" s="20"/>
      <c r="K49" s="20"/>
      <c r="L49" s="20"/>
      <c r="M49" s="20"/>
    </row>
    <row r="50" spans="2:13" x14ac:dyDescent="0.3">
      <c r="B50" s="20"/>
      <c r="D50" s="20"/>
      <c r="E50" s="20"/>
      <c r="F50" s="20"/>
      <c r="G50" s="20"/>
      <c r="H50" s="20"/>
      <c r="I50" s="20"/>
      <c r="J50" s="20"/>
      <c r="K50" s="20"/>
      <c r="L50" s="20"/>
      <c r="M50" s="20"/>
    </row>
    <row r="51" spans="2:13" x14ac:dyDescent="0.3">
      <c r="B51" s="20"/>
      <c r="D51" s="20"/>
      <c r="E51" s="20"/>
      <c r="F51" s="20"/>
      <c r="G51" s="20"/>
      <c r="H51" s="20"/>
      <c r="I51" s="20"/>
      <c r="J51" s="20"/>
      <c r="K51" s="20"/>
      <c r="L51" s="20"/>
      <c r="M51" s="20"/>
    </row>
  </sheetData>
  <mergeCells count="7">
    <mergeCell ref="N28:Q28"/>
    <mergeCell ref="A1:N1"/>
    <mergeCell ref="A2:N2"/>
    <mergeCell ref="O18:P18"/>
    <mergeCell ref="O20:P20"/>
    <mergeCell ref="O22:P22"/>
    <mergeCell ref="P23:Q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01_Idv_sin_noboa</vt:lpstr>
      <vt:lpstr>Idv CON NOBOA</vt:lpstr>
      <vt:lpstr>Votos válidos CON NOBOA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dc:creator>
  <cp:lastModifiedBy>Alejandro Mencias</cp:lastModifiedBy>
  <dcterms:created xsi:type="dcterms:W3CDTF">2020-10-28T12:34:28Z</dcterms:created>
  <dcterms:modified xsi:type="dcterms:W3CDTF">2021-01-15T17:45:52Z</dcterms:modified>
</cp:coreProperties>
</file>